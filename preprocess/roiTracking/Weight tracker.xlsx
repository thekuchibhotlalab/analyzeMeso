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656C6E2D-C1E9-453B-8CE1-D43B1EF40A3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A602" sheetId="1" r:id="rId1"/>
    <sheet name="PA615" sheetId="2" r:id="rId2"/>
    <sheet name="PA615 summary" sheetId="6" r:id="rId3"/>
    <sheet name="PA617" sheetId="3" r:id="rId4"/>
    <sheet name="PA626" sheetId="4" r:id="rId5"/>
    <sheet name="PA628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6" l="1"/>
  <c r="H62" i="6"/>
  <c r="G62" i="6"/>
  <c r="F62" i="6"/>
  <c r="J61" i="6"/>
  <c r="H61" i="6"/>
  <c r="G61" i="6"/>
  <c r="F61" i="6"/>
  <c r="J60" i="6"/>
  <c r="H60" i="6"/>
  <c r="G60" i="6"/>
  <c r="F60" i="6"/>
  <c r="J59" i="6"/>
  <c r="H59" i="6"/>
  <c r="G59" i="6"/>
  <c r="F59" i="6"/>
  <c r="J58" i="6"/>
  <c r="H58" i="6"/>
  <c r="G58" i="6"/>
  <c r="F58" i="6"/>
  <c r="J57" i="6"/>
  <c r="H57" i="6"/>
  <c r="G57" i="6"/>
  <c r="F57" i="6"/>
  <c r="J56" i="6"/>
  <c r="H56" i="6"/>
  <c r="G56" i="6"/>
  <c r="F56" i="6"/>
  <c r="J51" i="6"/>
  <c r="H51" i="6"/>
  <c r="G51" i="6"/>
  <c r="F51" i="6"/>
  <c r="J50" i="6"/>
  <c r="H50" i="6"/>
  <c r="G50" i="6"/>
  <c r="F50" i="6"/>
  <c r="J47" i="6"/>
  <c r="H47" i="6"/>
  <c r="G47" i="6"/>
  <c r="F47" i="6"/>
  <c r="J46" i="6"/>
  <c r="H46" i="6"/>
  <c r="G46" i="6"/>
  <c r="F46" i="6"/>
  <c r="J45" i="6"/>
  <c r="H45" i="6"/>
  <c r="G45" i="6"/>
  <c r="F45" i="6"/>
  <c r="J41" i="6"/>
  <c r="H41" i="6"/>
  <c r="G41" i="6"/>
  <c r="F41" i="6"/>
  <c r="J39" i="6"/>
  <c r="H39" i="6"/>
  <c r="G39" i="6"/>
  <c r="F39" i="6"/>
  <c r="J38" i="6"/>
  <c r="H38" i="6"/>
  <c r="G38" i="6"/>
  <c r="F38" i="6"/>
  <c r="J37" i="6"/>
  <c r="H37" i="6"/>
  <c r="G37" i="6"/>
  <c r="F37" i="6"/>
  <c r="J36" i="6"/>
  <c r="H36" i="6"/>
  <c r="G36" i="6"/>
  <c r="F36" i="6"/>
  <c r="J35" i="6"/>
  <c r="H35" i="6"/>
  <c r="G35" i="6"/>
  <c r="F35" i="6"/>
  <c r="J32" i="6"/>
  <c r="H32" i="6"/>
  <c r="G32" i="6"/>
  <c r="F32" i="6"/>
  <c r="J30" i="6"/>
  <c r="H30" i="6"/>
  <c r="G30" i="6"/>
  <c r="F30" i="6"/>
  <c r="J29" i="6"/>
  <c r="H29" i="6"/>
  <c r="G29" i="6"/>
  <c r="F29" i="6"/>
  <c r="J28" i="6"/>
  <c r="H28" i="6"/>
  <c r="G28" i="6"/>
  <c r="F28" i="6"/>
  <c r="J25" i="6"/>
  <c r="H25" i="6"/>
  <c r="G25" i="6"/>
  <c r="F25" i="6"/>
  <c r="J24" i="6"/>
  <c r="H24" i="6"/>
  <c r="G24" i="6"/>
  <c r="F24" i="6"/>
  <c r="J23" i="6"/>
  <c r="H23" i="6"/>
  <c r="G23" i="6"/>
  <c r="F23" i="6"/>
  <c r="J22" i="6"/>
  <c r="H22" i="6"/>
  <c r="G22" i="6"/>
  <c r="F22" i="6"/>
  <c r="J21" i="6"/>
  <c r="H21" i="6"/>
  <c r="G21" i="6"/>
  <c r="F21" i="6"/>
  <c r="J19" i="6"/>
  <c r="H19" i="6"/>
  <c r="G19" i="6"/>
  <c r="F19" i="6"/>
  <c r="J18" i="6"/>
  <c r="H18" i="6"/>
  <c r="G18" i="6"/>
  <c r="F18" i="6"/>
  <c r="AH17" i="6"/>
  <c r="P17" i="6"/>
  <c r="K17" i="6"/>
  <c r="J17" i="6"/>
  <c r="H17" i="6"/>
  <c r="G17" i="6"/>
  <c r="F17" i="6"/>
  <c r="K16" i="6"/>
  <c r="J16" i="6"/>
  <c r="H16" i="6"/>
  <c r="G16" i="6"/>
  <c r="F16" i="6"/>
  <c r="J14" i="6"/>
  <c r="H14" i="6"/>
  <c r="G14" i="6"/>
  <c r="F14" i="6"/>
  <c r="J13" i="6"/>
  <c r="H13" i="6"/>
  <c r="G13" i="6"/>
  <c r="F13" i="6"/>
  <c r="J10" i="6"/>
  <c r="H10" i="6"/>
  <c r="G10" i="6"/>
  <c r="F10" i="6"/>
  <c r="J9" i="6"/>
  <c r="H9" i="6"/>
  <c r="G9" i="6"/>
  <c r="F9" i="6"/>
  <c r="J8" i="6"/>
  <c r="H8" i="6"/>
  <c r="G8" i="6"/>
  <c r="F8" i="6"/>
  <c r="J7" i="6"/>
  <c r="H7" i="6"/>
  <c r="G7" i="6"/>
  <c r="F7" i="6"/>
  <c r="F99" i="5"/>
  <c r="G99" i="5"/>
  <c r="H99" i="5"/>
  <c r="I99" i="5"/>
  <c r="F100" i="5"/>
  <c r="G100" i="5"/>
  <c r="H100" i="5"/>
  <c r="I100" i="5"/>
  <c r="F101" i="5"/>
  <c r="G101" i="5"/>
  <c r="H101" i="5"/>
  <c r="I101" i="5"/>
  <c r="F102" i="5"/>
  <c r="G102" i="5"/>
  <c r="H102" i="5"/>
  <c r="I102" i="5"/>
  <c r="F103" i="5"/>
  <c r="G103" i="5"/>
  <c r="H103" i="5"/>
  <c r="I103" i="5"/>
  <c r="F104" i="5"/>
  <c r="G104" i="5"/>
  <c r="H104" i="5"/>
  <c r="I104" i="5"/>
  <c r="F105" i="5"/>
  <c r="G105" i="5"/>
  <c r="H105" i="5"/>
  <c r="I105" i="5"/>
  <c r="F93" i="5"/>
  <c r="G93" i="5"/>
  <c r="H93" i="5"/>
  <c r="I93" i="5"/>
  <c r="F94" i="5"/>
  <c r="G94" i="5"/>
  <c r="H94" i="5"/>
  <c r="I94" i="5"/>
  <c r="F84" i="5"/>
  <c r="G84" i="5"/>
  <c r="H84" i="5"/>
  <c r="I84" i="5"/>
  <c r="F88" i="5"/>
  <c r="G88" i="5"/>
  <c r="H88" i="5"/>
  <c r="I88" i="5"/>
  <c r="F89" i="5"/>
  <c r="G89" i="5"/>
  <c r="H89" i="5"/>
  <c r="I89" i="5"/>
  <c r="F90" i="5"/>
  <c r="G90" i="5"/>
  <c r="H90" i="5"/>
  <c r="I90" i="5"/>
  <c r="F78" i="5"/>
  <c r="G78" i="5"/>
  <c r="H78" i="5"/>
  <c r="I78" i="5"/>
  <c r="F79" i="5"/>
  <c r="G79" i="5"/>
  <c r="H79" i="5"/>
  <c r="I79" i="5"/>
  <c r="F80" i="5"/>
  <c r="G80" i="5"/>
  <c r="H80" i="5"/>
  <c r="I80" i="5"/>
  <c r="F81" i="5"/>
  <c r="G81" i="5"/>
  <c r="H81" i="5"/>
  <c r="I81" i="5"/>
  <c r="F82" i="5"/>
  <c r="G82" i="5"/>
  <c r="H82" i="5"/>
  <c r="I82" i="5"/>
  <c r="F71" i="5"/>
  <c r="G71" i="5"/>
  <c r="H71" i="5"/>
  <c r="I71" i="5"/>
  <c r="F72" i="5"/>
  <c r="G72" i="5"/>
  <c r="H72" i="5"/>
  <c r="I72" i="5"/>
  <c r="F73" i="5"/>
  <c r="G73" i="5"/>
  <c r="H73" i="5"/>
  <c r="I73" i="5"/>
  <c r="F75" i="5"/>
  <c r="G75" i="5"/>
  <c r="H75" i="5"/>
  <c r="I75" i="5"/>
  <c r="F64" i="5"/>
  <c r="G64" i="5"/>
  <c r="H64" i="5"/>
  <c r="I64" i="5"/>
  <c r="F65" i="5"/>
  <c r="G65" i="5"/>
  <c r="H65" i="5"/>
  <c r="I65" i="5"/>
  <c r="F66" i="5"/>
  <c r="G66" i="5"/>
  <c r="H66" i="5"/>
  <c r="I66" i="5"/>
  <c r="F67" i="5"/>
  <c r="G67" i="5"/>
  <c r="H67" i="5"/>
  <c r="I67" i="5"/>
  <c r="F68" i="5"/>
  <c r="G68" i="5"/>
  <c r="H68" i="5"/>
  <c r="I68" i="5"/>
  <c r="F56" i="5"/>
  <c r="G56" i="5"/>
  <c r="H56" i="5"/>
  <c r="I56" i="5"/>
  <c r="F57" i="5"/>
  <c r="G57" i="5"/>
  <c r="H57" i="5"/>
  <c r="I57" i="5"/>
  <c r="G59" i="5"/>
  <c r="J59" i="5"/>
  <c r="G60" i="5"/>
  <c r="J60" i="5"/>
  <c r="O60" i="5"/>
  <c r="U60" i="5"/>
  <c r="F61" i="5"/>
  <c r="G61" i="5"/>
  <c r="H61" i="5"/>
  <c r="I61" i="5"/>
  <c r="F62" i="5"/>
  <c r="G62" i="5"/>
  <c r="H62" i="5"/>
  <c r="I62" i="5"/>
  <c r="F50" i="5"/>
  <c r="G50" i="5"/>
  <c r="H50" i="5"/>
  <c r="I50" i="5"/>
  <c r="F51" i="5"/>
  <c r="G51" i="5"/>
  <c r="H51" i="5"/>
  <c r="I51" i="5"/>
  <c r="F52" i="5"/>
  <c r="G52" i="5"/>
  <c r="H52" i="5"/>
  <c r="I52" i="5"/>
  <c r="F53" i="5"/>
  <c r="G53" i="5"/>
  <c r="H53" i="5"/>
  <c r="I53" i="5"/>
  <c r="Q87" i="2"/>
  <c r="O87" i="2"/>
  <c r="N87" i="2"/>
  <c r="M87" i="2"/>
  <c r="Q86" i="2"/>
  <c r="O86" i="2"/>
  <c r="N86" i="2"/>
  <c r="M86" i="2"/>
  <c r="D86" i="2"/>
  <c r="Q85" i="3"/>
  <c r="O85" i="3"/>
  <c r="N85" i="3"/>
  <c r="M85" i="3"/>
  <c r="D85" i="3"/>
  <c r="Q84" i="3"/>
  <c r="O84" i="3"/>
  <c r="N84" i="3"/>
  <c r="M84" i="3"/>
  <c r="D84" i="3"/>
  <c r="Q85" i="2"/>
  <c r="O85" i="2"/>
  <c r="N85" i="2"/>
  <c r="M85" i="2"/>
  <c r="Q84" i="2"/>
  <c r="O84" i="2"/>
  <c r="N84" i="2"/>
  <c r="M84" i="2"/>
  <c r="Q83" i="2"/>
  <c r="O83" i="2"/>
  <c r="N83" i="2"/>
  <c r="M83" i="2"/>
  <c r="D83" i="2"/>
  <c r="Q83" i="3"/>
  <c r="O83" i="3"/>
  <c r="N83" i="3"/>
  <c r="M83" i="3"/>
  <c r="D83" i="3"/>
  <c r="Q82" i="2"/>
  <c r="O82" i="2"/>
  <c r="N82" i="2"/>
  <c r="M82" i="2"/>
  <c r="D82" i="2"/>
  <c r="Q82" i="3"/>
  <c r="O82" i="3"/>
  <c r="N82" i="3"/>
  <c r="M82" i="3"/>
  <c r="D82" i="3"/>
  <c r="Q81" i="2"/>
  <c r="O81" i="2"/>
  <c r="N81" i="2"/>
  <c r="M81" i="2"/>
  <c r="D81" i="2"/>
  <c r="D78" i="3"/>
  <c r="Q78" i="3"/>
  <c r="O78" i="3"/>
  <c r="N78" i="3"/>
  <c r="M78" i="3"/>
  <c r="Q76" i="2"/>
  <c r="O76" i="2"/>
  <c r="N76" i="2"/>
  <c r="M76" i="2"/>
  <c r="D76" i="2"/>
  <c r="Q71" i="4"/>
  <c r="O71" i="4"/>
  <c r="N71" i="4"/>
  <c r="M71" i="4"/>
  <c r="D71" i="4"/>
  <c r="Q77" i="3"/>
  <c r="O77" i="3"/>
  <c r="N77" i="3"/>
  <c r="M77" i="3"/>
  <c r="D77" i="3"/>
  <c r="Q70" i="4"/>
  <c r="O70" i="4"/>
  <c r="N70" i="4"/>
  <c r="M70" i="4"/>
  <c r="D70" i="4"/>
  <c r="D68" i="4"/>
  <c r="Q76" i="3"/>
  <c r="O76" i="3"/>
  <c r="N76" i="3"/>
  <c r="M76" i="3"/>
  <c r="D76" i="3"/>
  <c r="Q75" i="2"/>
  <c r="O75" i="2"/>
  <c r="N75" i="2"/>
  <c r="M75" i="2"/>
  <c r="D75" i="2"/>
  <c r="D74" i="3"/>
  <c r="D73" i="2"/>
  <c r="F67" i="4"/>
  <c r="G67" i="4"/>
  <c r="D67" i="4"/>
  <c r="N73" i="3"/>
  <c r="O73" i="3"/>
  <c r="P73" i="3"/>
  <c r="Q73" i="3"/>
  <c r="F73" i="3"/>
  <c r="G73" i="3"/>
  <c r="F71" i="2"/>
  <c r="G71" i="2"/>
  <c r="F72" i="2"/>
  <c r="G72" i="2"/>
  <c r="D73" i="3"/>
  <c r="N67" i="4"/>
  <c r="O67" i="4"/>
  <c r="P67" i="4"/>
  <c r="Q67" i="4"/>
  <c r="N72" i="2"/>
  <c r="O72" i="2"/>
  <c r="P72" i="2"/>
  <c r="Q72" i="2"/>
  <c r="D72" i="2"/>
  <c r="Q71" i="2"/>
  <c r="O71" i="2"/>
  <c r="N71" i="2"/>
  <c r="M71" i="2"/>
  <c r="D71" i="2"/>
  <c r="N66" i="4"/>
  <c r="O66" i="4"/>
  <c r="P66" i="4"/>
  <c r="Q66" i="4"/>
  <c r="F66" i="4"/>
  <c r="G66" i="4"/>
  <c r="N72" i="3"/>
  <c r="O72" i="3"/>
  <c r="P72" i="3"/>
  <c r="Q72" i="3"/>
  <c r="F72" i="3"/>
  <c r="G72" i="3"/>
  <c r="D72" i="3"/>
  <c r="D66" i="4"/>
  <c r="N65" i="4"/>
  <c r="O65" i="4"/>
  <c r="P65" i="4"/>
  <c r="Q65" i="4"/>
  <c r="F65" i="4"/>
  <c r="G65" i="4"/>
  <c r="D65" i="4"/>
  <c r="N71" i="3"/>
  <c r="O71" i="3"/>
  <c r="P71" i="3"/>
  <c r="Q71" i="3"/>
  <c r="F71" i="3"/>
  <c r="G71" i="3"/>
  <c r="D71" i="3"/>
  <c r="F70" i="2"/>
  <c r="G70" i="2" s="1"/>
  <c r="Q70" i="2"/>
  <c r="O70" i="2"/>
  <c r="N70" i="2"/>
  <c r="M70" i="2"/>
  <c r="D70" i="2"/>
  <c r="F64" i="4"/>
  <c r="G64" i="4"/>
  <c r="N64" i="4"/>
  <c r="O64" i="4"/>
  <c r="P64" i="4"/>
  <c r="Q64" i="4"/>
  <c r="D69" i="2"/>
  <c r="F70" i="3"/>
  <c r="G70" i="3"/>
  <c r="D64" i="4"/>
  <c r="N70" i="3"/>
  <c r="O70" i="3"/>
  <c r="P70" i="3"/>
  <c r="Q70" i="3"/>
  <c r="D70" i="3"/>
  <c r="F63" i="4"/>
  <c r="G63" i="4" s="1"/>
  <c r="F69" i="3"/>
  <c r="G69" i="3" s="1"/>
  <c r="D69" i="3"/>
  <c r="D63" i="4"/>
  <c r="N63" i="4"/>
  <c r="O63" i="4"/>
  <c r="P63" i="4"/>
  <c r="Q63" i="4"/>
  <c r="N69" i="3"/>
  <c r="O69" i="3"/>
  <c r="P69" i="3"/>
  <c r="Q69" i="3"/>
  <c r="D68" i="2"/>
  <c r="Q62" i="4"/>
  <c r="O62" i="4"/>
  <c r="N62" i="4"/>
  <c r="M62" i="4"/>
  <c r="D62" i="4"/>
  <c r="Q68" i="3"/>
  <c r="O68" i="3"/>
  <c r="N68" i="3"/>
  <c r="M68" i="3"/>
  <c r="D68" i="3"/>
  <c r="Q66" i="2"/>
  <c r="O66" i="2"/>
  <c r="N66" i="2"/>
  <c r="M66" i="2"/>
  <c r="D66" i="2"/>
  <c r="Q64" i="2"/>
  <c r="O64" i="2"/>
  <c r="N64" i="2"/>
  <c r="M64" i="2"/>
  <c r="D64" i="2"/>
  <c r="Q59" i="4"/>
  <c r="O59" i="4"/>
  <c r="N59" i="4"/>
  <c r="M59" i="4"/>
  <c r="D59" i="4"/>
  <c r="Q65" i="3"/>
  <c r="O65" i="3"/>
  <c r="N65" i="3"/>
  <c r="M65" i="3"/>
  <c r="Q63" i="2"/>
  <c r="O63" i="2"/>
  <c r="N63" i="2"/>
  <c r="M63" i="2"/>
  <c r="D63" i="2"/>
  <c r="Q58" i="4"/>
  <c r="O58" i="4"/>
  <c r="N58" i="4"/>
  <c r="M58" i="4"/>
  <c r="D58" i="4"/>
  <c r="Q64" i="3"/>
  <c r="O64" i="3"/>
  <c r="N64" i="3"/>
  <c r="M64" i="3"/>
  <c r="Q62" i="2"/>
  <c r="O62" i="2"/>
  <c r="N62" i="2"/>
  <c r="M62" i="2"/>
  <c r="D62" i="2"/>
  <c r="Q57" i="4"/>
  <c r="O57" i="4"/>
  <c r="N57" i="4"/>
  <c r="M57" i="4"/>
  <c r="Q63" i="3"/>
  <c r="O63" i="3"/>
  <c r="N63" i="3"/>
  <c r="M63" i="3"/>
  <c r="Q61" i="2"/>
  <c r="O61" i="2"/>
  <c r="N61" i="2"/>
  <c r="M61" i="2"/>
  <c r="D61" i="2"/>
  <c r="Q56" i="4"/>
  <c r="O56" i="4"/>
  <c r="N56" i="4"/>
  <c r="M56" i="4"/>
  <c r="D56" i="4"/>
  <c r="Q62" i="3"/>
  <c r="O62" i="3"/>
  <c r="N62" i="3"/>
  <c r="M62" i="3"/>
  <c r="D62" i="3"/>
  <c r="D63" i="3"/>
  <c r="D64" i="3"/>
  <c r="D65" i="3"/>
  <c r="Q60" i="2"/>
  <c r="O60" i="2"/>
  <c r="N60" i="2"/>
  <c r="M60" i="2"/>
  <c r="D60" i="2"/>
  <c r="D55" i="4"/>
  <c r="D61" i="3"/>
  <c r="D59" i="2"/>
  <c r="D54" i="4"/>
  <c r="D60" i="3"/>
  <c r="Q53" i="4"/>
  <c r="O53" i="4"/>
  <c r="N53" i="4"/>
  <c r="M53" i="4"/>
  <c r="D53" i="4"/>
  <c r="D52" i="4"/>
  <c r="Q59" i="3"/>
  <c r="O59" i="3"/>
  <c r="N59" i="3"/>
  <c r="M59" i="3"/>
  <c r="D59" i="3"/>
  <c r="Q57" i="2"/>
  <c r="O57" i="2"/>
  <c r="N57" i="2"/>
  <c r="M57" i="2"/>
  <c r="D57" i="2"/>
  <c r="D58" i="2"/>
  <c r="Q52" i="4"/>
  <c r="O52" i="4"/>
  <c r="N52" i="4"/>
  <c r="M52" i="4"/>
  <c r="D58" i="3"/>
  <c r="D56" i="2"/>
  <c r="D55" i="2"/>
  <c r="Q57" i="3"/>
  <c r="O57" i="3"/>
  <c r="N57" i="3"/>
  <c r="M57" i="3"/>
  <c r="D57" i="3"/>
  <c r="Q55" i="2"/>
  <c r="O55" i="2"/>
  <c r="N55" i="2"/>
  <c r="M55" i="2"/>
  <c r="Q51" i="4"/>
  <c r="O51" i="4"/>
  <c r="N51" i="4"/>
  <c r="M51" i="4"/>
  <c r="D51" i="4"/>
  <c r="D50" i="4"/>
  <c r="Q50" i="4"/>
  <c r="O50" i="4"/>
  <c r="N50" i="4"/>
  <c r="M50" i="4"/>
  <c r="Q56" i="3"/>
  <c r="O56" i="3"/>
  <c r="N56" i="3"/>
  <c r="M56" i="3"/>
  <c r="Q54" i="2"/>
  <c r="O54" i="2"/>
  <c r="N54" i="2"/>
  <c r="M54" i="2"/>
  <c r="D56" i="3"/>
  <c r="D54" i="2"/>
  <c r="D49" i="4"/>
  <c r="D49" i="5"/>
  <c r="Q55" i="3"/>
  <c r="O55" i="3"/>
  <c r="N55" i="3"/>
  <c r="M55" i="3"/>
  <c r="D55" i="3"/>
  <c r="Q53" i="2"/>
  <c r="O53" i="2"/>
  <c r="N53" i="2"/>
  <c r="M53" i="2"/>
  <c r="D53" i="2"/>
  <c r="D48" i="5"/>
  <c r="D48" i="4"/>
  <c r="D52" i="2"/>
  <c r="D47" i="5"/>
  <c r="D47" i="4"/>
  <c r="D51" i="2"/>
  <c r="D53" i="3"/>
  <c r="N46" i="5"/>
  <c r="O46" i="5"/>
  <c r="P46" i="5"/>
  <c r="Q46" i="5"/>
  <c r="N52" i="3"/>
  <c r="O52" i="3"/>
  <c r="P52" i="3"/>
  <c r="Q52" i="3"/>
  <c r="D46" i="4"/>
  <c r="F46" i="5"/>
  <c r="G46" i="5"/>
  <c r="D46" i="5"/>
  <c r="D52" i="3"/>
  <c r="F52" i="3"/>
  <c r="G52" i="3"/>
  <c r="N50" i="2"/>
  <c r="O50" i="2"/>
  <c r="P50" i="2"/>
  <c r="Q50" i="2"/>
  <c r="F50" i="2"/>
  <c r="G50" i="2"/>
  <c r="D50" i="2"/>
  <c r="F45" i="5"/>
  <c r="G45" i="5"/>
  <c r="N45" i="5"/>
  <c r="O45" i="5"/>
  <c r="P45" i="5"/>
  <c r="Q45" i="5"/>
  <c r="F51" i="3"/>
  <c r="G51" i="3" s="1"/>
  <c r="F50" i="3"/>
  <c r="G50" i="3" s="1"/>
  <c r="N51" i="3"/>
  <c r="O51" i="3"/>
  <c r="P51" i="3"/>
  <c r="Q51" i="3"/>
  <c r="N45" i="4"/>
  <c r="O45" i="4"/>
  <c r="P45" i="4"/>
  <c r="Q45" i="4"/>
  <c r="G40" i="4"/>
  <c r="F39" i="4"/>
  <c r="G39" i="4" s="1"/>
  <c r="F42" i="4"/>
  <c r="G42" i="4" s="1"/>
  <c r="F44" i="4"/>
  <c r="G44" i="4" s="1"/>
  <c r="F45" i="4"/>
  <c r="G45" i="4" s="1"/>
  <c r="F47" i="2"/>
  <c r="G47" i="2" s="1"/>
  <c r="F48" i="2"/>
  <c r="G48" i="2" s="1"/>
  <c r="F49" i="2"/>
  <c r="G49" i="2" s="1"/>
  <c r="D45" i="4"/>
  <c r="D45" i="5"/>
  <c r="D51" i="3"/>
  <c r="N49" i="2"/>
  <c r="O49" i="2"/>
  <c r="P49" i="2"/>
  <c r="Q49" i="2"/>
  <c r="N48" i="2"/>
  <c r="O48" i="2"/>
  <c r="P48" i="2"/>
  <c r="Q48" i="2"/>
  <c r="D49" i="2"/>
  <c r="Q44" i="5"/>
  <c r="O44" i="5"/>
  <c r="N44" i="5"/>
  <c r="M44" i="5"/>
  <c r="D44" i="5"/>
  <c r="Q48" i="3"/>
  <c r="O48" i="3"/>
  <c r="N48" i="3"/>
  <c r="M48" i="3"/>
  <c r="D48" i="3"/>
  <c r="M48" i="2"/>
  <c r="D48" i="2"/>
  <c r="Q47" i="3"/>
  <c r="O47" i="3"/>
  <c r="N47" i="3"/>
  <c r="M47" i="3"/>
  <c r="Q50" i="3"/>
  <c r="O50" i="3"/>
  <c r="N50" i="3"/>
  <c r="M50" i="3"/>
  <c r="D50" i="3"/>
  <c r="D44" i="4"/>
  <c r="Q44" i="4"/>
  <c r="O44" i="4"/>
  <c r="N44" i="4"/>
  <c r="M44" i="4"/>
  <c r="Q47" i="2"/>
  <c r="O47" i="2"/>
  <c r="N47" i="2"/>
  <c r="M47" i="2"/>
  <c r="D47" i="3"/>
  <c r="Q42" i="5"/>
  <c r="O42" i="5"/>
  <c r="N42" i="5"/>
  <c r="M42" i="5"/>
  <c r="D42" i="5"/>
  <c r="Q42" i="4"/>
  <c r="O42" i="4"/>
  <c r="N42" i="4"/>
  <c r="M42" i="4"/>
  <c r="F44" i="3"/>
  <c r="G44" i="3"/>
  <c r="G45" i="3"/>
  <c r="F46" i="3"/>
  <c r="G46" i="3"/>
  <c r="Q46" i="3"/>
  <c r="O46" i="3"/>
  <c r="N46" i="3"/>
  <c r="M46" i="3"/>
  <c r="F44" i="2"/>
  <c r="G44" i="2"/>
  <c r="F45" i="2"/>
  <c r="G45" i="2"/>
  <c r="F46" i="2"/>
  <c r="G46" i="2"/>
  <c r="Q46" i="2"/>
  <c r="O46" i="2"/>
  <c r="N46" i="2"/>
  <c r="M46" i="2"/>
  <c r="D46" i="2"/>
  <c r="D47" i="2"/>
  <c r="Q41" i="5"/>
  <c r="O41" i="5"/>
  <c r="N41" i="5"/>
  <c r="M41" i="5"/>
  <c r="D45" i="2"/>
  <c r="D45" i="3"/>
  <c r="D46" i="3"/>
  <c r="D41" i="5"/>
  <c r="D39" i="5"/>
  <c r="Q39" i="4"/>
  <c r="O39" i="4"/>
  <c r="N39" i="4"/>
  <c r="M39" i="4"/>
  <c r="Q44" i="3"/>
  <c r="O44" i="3"/>
  <c r="N44" i="3"/>
  <c r="M44" i="3"/>
  <c r="D44" i="3"/>
  <c r="D38" i="5"/>
  <c r="D40" i="4"/>
  <c r="D41" i="4"/>
  <c r="D42" i="4"/>
  <c r="D43" i="4"/>
  <c r="Q44" i="2"/>
  <c r="O44" i="2"/>
  <c r="N44" i="2"/>
  <c r="M44" i="2"/>
  <c r="D44" i="2"/>
  <c r="D37" i="5"/>
  <c r="Q43" i="3"/>
  <c r="O43" i="3"/>
  <c r="N43" i="3"/>
  <c r="M43" i="3"/>
  <c r="Q43" i="2"/>
  <c r="O43" i="2"/>
  <c r="N43" i="2"/>
  <c r="M43" i="2"/>
  <c r="O42" i="2"/>
  <c r="F43" i="2"/>
  <c r="G43" i="2"/>
  <c r="F43" i="3"/>
  <c r="G43" i="3"/>
  <c r="D43" i="3"/>
  <c r="D39" i="4"/>
  <c r="D43" i="2"/>
  <c r="F35" i="5"/>
  <c r="F36" i="5"/>
  <c r="F34" i="5"/>
  <c r="G34" i="5" s="1"/>
  <c r="F37" i="4"/>
  <c r="F38" i="4"/>
  <c r="G38" i="4" s="1"/>
  <c r="G37" i="4"/>
  <c r="D36" i="5"/>
  <c r="F41" i="3"/>
  <c r="G41" i="3"/>
  <c r="F37" i="3"/>
  <c r="G37" i="3" s="1"/>
  <c r="F38" i="3"/>
  <c r="G38" i="3" s="1"/>
  <c r="F39" i="3"/>
  <c r="G39" i="3" s="1"/>
  <c r="F40" i="3"/>
  <c r="G40" i="3" s="1"/>
  <c r="F42" i="3"/>
  <c r="G42" i="3" s="1"/>
  <c r="AC42" i="2"/>
  <c r="W42" i="2"/>
  <c r="R42" i="2"/>
  <c r="D38" i="4"/>
  <c r="N38" i="4"/>
  <c r="O38" i="4"/>
  <c r="P38" i="4"/>
  <c r="Q38" i="4"/>
  <c r="N42" i="3"/>
  <c r="O42" i="3"/>
  <c r="P42" i="3"/>
  <c r="Q42" i="3"/>
  <c r="D42" i="2"/>
  <c r="R41" i="2"/>
  <c r="Q41" i="2"/>
  <c r="O41" i="2"/>
  <c r="N41" i="2"/>
  <c r="M41" i="2"/>
  <c r="D41" i="2"/>
  <c r="Q37" i="4"/>
  <c r="O37" i="4"/>
  <c r="N37" i="4"/>
  <c r="M37" i="4"/>
  <c r="Q36" i="4"/>
  <c r="O36" i="4"/>
  <c r="N36" i="4"/>
  <c r="M36" i="4"/>
  <c r="Q35" i="4"/>
  <c r="O35" i="4"/>
  <c r="N35" i="4"/>
  <c r="M35" i="4"/>
  <c r="Q34" i="3"/>
  <c r="O34" i="3"/>
  <c r="N34" i="3"/>
  <c r="M34" i="3"/>
  <c r="Q35" i="3"/>
  <c r="O35" i="3"/>
  <c r="N35" i="3"/>
  <c r="M35" i="3"/>
  <c r="Q36" i="3"/>
  <c r="O36" i="3"/>
  <c r="N36" i="3"/>
  <c r="M36" i="3"/>
  <c r="Q39" i="3"/>
  <c r="O39" i="3"/>
  <c r="N39" i="3"/>
  <c r="M39" i="3"/>
  <c r="Q40" i="3"/>
  <c r="O40" i="3"/>
  <c r="N40" i="3"/>
  <c r="M40" i="3"/>
  <c r="Q41" i="3"/>
  <c r="O41" i="3"/>
  <c r="N41" i="3"/>
  <c r="M41" i="3"/>
  <c r="D37" i="4"/>
  <c r="D41" i="3"/>
  <c r="D42" i="3"/>
  <c r="D36" i="4"/>
  <c r="D40" i="3"/>
  <c r="N33" i="2"/>
  <c r="O33" i="2"/>
  <c r="N34" i="2"/>
  <c r="O34" i="2"/>
  <c r="N35" i="2"/>
  <c r="O35" i="2"/>
  <c r="N38" i="2"/>
  <c r="O38" i="2"/>
  <c r="N39" i="2"/>
  <c r="O39" i="2"/>
  <c r="O32" i="2"/>
  <c r="N32" i="2"/>
  <c r="Q39" i="2"/>
  <c r="M39" i="2"/>
  <c r="D37" i="2"/>
  <c r="D38" i="2"/>
  <c r="D39" i="2"/>
  <c r="D33" i="5"/>
  <c r="D34" i="5"/>
  <c r="D35" i="5"/>
  <c r="D35" i="4"/>
  <c r="D33" i="4"/>
  <c r="D39" i="3"/>
  <c r="Q38" i="2"/>
  <c r="M38" i="2"/>
  <c r="D32" i="5"/>
  <c r="D32" i="4"/>
  <c r="D38" i="3"/>
  <c r="D31" i="5"/>
  <c r="D31" i="4"/>
  <c r="D37" i="3"/>
  <c r="D36" i="2"/>
  <c r="L30" i="4"/>
  <c r="P35" i="2"/>
  <c r="Q35" i="2"/>
  <c r="L30" i="5"/>
  <c r="F30" i="5" s="1"/>
  <c r="D30" i="4"/>
  <c r="D36" i="3"/>
  <c r="D35" i="2"/>
  <c r="F36" i="3"/>
  <c r="G36" i="3" s="1"/>
  <c r="F35" i="2"/>
  <c r="G35" i="2" s="1"/>
  <c r="F30" i="4"/>
  <c r="G30" i="4" s="1"/>
  <c r="D30" i="5"/>
  <c r="L29" i="4"/>
  <c r="D29" i="4"/>
  <c r="P34" i="2"/>
  <c r="Q34" i="2"/>
  <c r="D35" i="3"/>
  <c r="D34" i="2"/>
  <c r="Q32" i="2"/>
  <c r="M32" i="2"/>
  <c r="Q33" i="2"/>
  <c r="M33" i="2"/>
  <c r="D29" i="5"/>
  <c r="D28" i="5"/>
  <c r="D27" i="5"/>
  <c r="D27" i="4"/>
  <c r="D28" i="4"/>
  <c r="D33" i="2"/>
  <c r="D31" i="3"/>
  <c r="D34" i="3"/>
  <c r="D32" i="2"/>
  <c r="D26" i="5"/>
  <c r="D30" i="3"/>
  <c r="D30" i="2"/>
  <c r="D25" i="4"/>
  <c r="D26" i="4"/>
  <c r="D29" i="3"/>
  <c r="D29" i="2"/>
  <c r="D24" i="4"/>
  <c r="D28" i="3"/>
  <c r="D28" i="2"/>
  <c r="D23" i="5"/>
  <c r="D24" i="5"/>
  <c r="D25" i="5"/>
  <c r="D27" i="3"/>
  <c r="D27" i="2"/>
  <c r="D22" i="5"/>
  <c r="D22" i="4"/>
  <c r="D26" i="3"/>
  <c r="D26" i="2"/>
  <c r="D25" i="2"/>
  <c r="D21" i="4"/>
  <c r="D25" i="3"/>
  <c r="D21" i="5"/>
  <c r="D20" i="4"/>
  <c r="D20" i="5"/>
  <c r="D23" i="3"/>
  <c r="D24" i="3"/>
  <c r="D24" i="2"/>
  <c r="D19" i="5"/>
  <c r="D19" i="4"/>
  <c r="D23" i="2"/>
  <c r="D18" i="4"/>
  <c r="D18" i="5"/>
  <c r="D22" i="3"/>
  <c r="D22" i="2"/>
  <c r="D13" i="4"/>
  <c r="D14" i="4"/>
  <c r="D17" i="4"/>
  <c r="D17" i="5"/>
  <c r="D21" i="2"/>
  <c r="D21" i="3"/>
  <c r="D19" i="2"/>
  <c r="D18" i="3"/>
  <c r="D19" i="3"/>
  <c r="D13" i="5"/>
  <c r="D14" i="5"/>
  <c r="D18" i="2"/>
  <c r="D12" i="5"/>
  <c r="D17" i="3"/>
  <c r="D11" i="5"/>
  <c r="D10" i="5"/>
  <c r="D9" i="5"/>
  <c r="D14" i="2"/>
  <c r="D15" i="2"/>
  <c r="D16" i="2"/>
  <c r="D17" i="2"/>
  <c r="D8" i="4"/>
  <c r="D9" i="4"/>
  <c r="D10" i="4"/>
  <c r="D11" i="4"/>
  <c r="D12" i="4"/>
  <c r="D13" i="3"/>
  <c r="D14" i="3"/>
  <c r="D15" i="3"/>
  <c r="D16" i="3"/>
  <c r="D12" i="2"/>
  <c r="D13" i="2"/>
  <c r="D6" i="5"/>
  <c r="D7" i="5"/>
  <c r="D8" i="5"/>
  <c r="D10" i="2"/>
  <c r="D11" i="2"/>
  <c r="D11" i="3"/>
  <c r="D12" i="3"/>
  <c r="D5" i="5"/>
  <c r="D4" i="5"/>
  <c r="D5" i="4"/>
  <c r="D6" i="4"/>
  <c r="D7" i="4"/>
  <c r="D3" i="4"/>
  <c r="D4" i="4"/>
  <c r="D3" i="5"/>
  <c r="D7" i="3"/>
  <c r="D8" i="3"/>
  <c r="D9" i="3"/>
  <c r="D10" i="3"/>
  <c r="D7" i="2"/>
  <c r="D8" i="2"/>
  <c r="D9" i="2"/>
  <c r="G2" i="5"/>
  <c r="D2" i="5"/>
  <c r="G2" i="4"/>
  <c r="D2" i="4"/>
  <c r="D3" i="2"/>
  <c r="D4" i="2"/>
  <c r="D5" i="2"/>
  <c r="D6" i="2"/>
  <c r="D2" i="2"/>
  <c r="D3" i="3"/>
  <c r="D4" i="3"/>
  <c r="D5" i="3"/>
  <c r="D6" i="3"/>
  <c r="D2" i="3"/>
  <c r="G2" i="3"/>
  <c r="G2" i="2"/>
  <c r="D66" i="1"/>
  <c r="N64" i="1"/>
  <c r="O64" i="1"/>
  <c r="P64" i="1"/>
  <c r="Q64" i="1"/>
  <c r="G65" i="1"/>
  <c r="D65" i="1"/>
  <c r="F64" i="1"/>
  <c r="G64" i="1"/>
  <c r="L63" i="1"/>
  <c r="N63" i="1"/>
  <c r="O63" i="1"/>
  <c r="P63" i="1"/>
  <c r="Q63" i="1"/>
  <c r="N62" i="1"/>
  <c r="O62" i="1"/>
  <c r="P62" i="1"/>
  <c r="Q62" i="1"/>
  <c r="F62" i="1"/>
  <c r="G62" i="1"/>
  <c r="F63" i="1"/>
  <c r="G63" i="1"/>
  <c r="D62" i="1"/>
  <c r="D63" i="1"/>
  <c r="D64" i="1"/>
  <c r="N61" i="1"/>
  <c r="O61" i="1"/>
  <c r="P61" i="1"/>
  <c r="Q61" i="1"/>
  <c r="F57" i="1"/>
  <c r="G57" i="1"/>
  <c r="F58" i="1"/>
  <c r="G58" i="1"/>
  <c r="F59" i="1"/>
  <c r="G59" i="1"/>
  <c r="F60" i="1"/>
  <c r="G60" i="1"/>
  <c r="F61" i="1"/>
  <c r="G61" i="1"/>
  <c r="D60" i="1"/>
  <c r="D61" i="1"/>
  <c r="D58" i="1"/>
  <c r="D59" i="1"/>
  <c r="N57" i="1"/>
  <c r="O57" i="1"/>
  <c r="P57" i="1"/>
  <c r="Q57" i="1"/>
  <c r="N58" i="1"/>
  <c r="O58" i="1"/>
  <c r="P58" i="1"/>
  <c r="Q58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R56" i="1"/>
  <c r="F55" i="1"/>
  <c r="F56" i="1"/>
  <c r="N55" i="1"/>
  <c r="O55" i="1"/>
  <c r="P55" i="1"/>
  <c r="Q55" i="1"/>
  <c r="N56" i="1"/>
  <c r="O56" i="1"/>
  <c r="P56" i="1"/>
  <c r="Q56" i="1"/>
  <c r="N60" i="1"/>
  <c r="O60" i="1"/>
  <c r="P60" i="1"/>
  <c r="Q60" i="1"/>
  <c r="D55" i="1"/>
  <c r="D56" i="1"/>
  <c r="D57" i="1"/>
  <c r="Q54" i="1"/>
  <c r="O54" i="1"/>
  <c r="N54" i="1"/>
  <c r="M54" i="1"/>
  <c r="F54" i="1"/>
  <c r="G54" i="1" s="1"/>
  <c r="D54" i="1"/>
  <c r="L52" i="1"/>
  <c r="F52" i="1"/>
  <c r="G52" i="1"/>
  <c r="G55" i="1"/>
  <c r="O52" i="1"/>
  <c r="N52" i="1"/>
  <c r="G56" i="1"/>
  <c r="D51" i="1"/>
  <c r="D52" i="1"/>
  <c r="L50" i="1"/>
  <c r="L49" i="1"/>
  <c r="F49" i="1"/>
  <c r="G49" i="1"/>
  <c r="F50" i="1"/>
  <c r="G50" i="1"/>
  <c r="F51" i="1"/>
  <c r="G51" i="1"/>
  <c r="D49" i="1"/>
  <c r="D50" i="1"/>
  <c r="L45" i="1"/>
  <c r="F45" i="1"/>
  <c r="G45" i="1"/>
  <c r="F46" i="1"/>
  <c r="G46" i="1"/>
  <c r="F47" i="1"/>
  <c r="G47" i="1"/>
  <c r="F48" i="1"/>
  <c r="G48" i="1"/>
  <c r="D45" i="1"/>
  <c r="D46" i="1"/>
  <c r="D47" i="1"/>
  <c r="D48" i="1"/>
  <c r="D44" i="1"/>
  <c r="L43" i="1"/>
  <c r="F43" i="1"/>
  <c r="G43" i="1"/>
  <c r="F44" i="1"/>
  <c r="G44" i="1"/>
  <c r="L41" i="1"/>
  <c r="F41" i="1"/>
  <c r="G41" i="1" s="1"/>
  <c r="F42" i="1"/>
  <c r="G42" i="1"/>
  <c r="L40" i="1"/>
  <c r="F40" i="1"/>
  <c r="G40" i="1"/>
  <c r="L39" i="1"/>
  <c r="Q39" i="1"/>
  <c r="P39" i="1"/>
  <c r="O39" i="1"/>
  <c r="N39" i="1"/>
  <c r="M39" i="1"/>
  <c r="G37" i="1"/>
  <c r="F38" i="1"/>
  <c r="G38" i="1"/>
  <c r="F39" i="1"/>
  <c r="G39" i="1"/>
  <c r="D37" i="1"/>
  <c r="D38" i="1"/>
  <c r="D39" i="1"/>
  <c r="D40" i="1"/>
  <c r="D41" i="1"/>
  <c r="D42" i="1"/>
  <c r="D43" i="1"/>
  <c r="L36" i="1"/>
  <c r="L35" i="1"/>
  <c r="F35" i="1"/>
  <c r="G35" i="1"/>
  <c r="F36" i="1"/>
  <c r="G36" i="1"/>
  <c r="L34" i="1"/>
  <c r="F34" i="1"/>
  <c r="G34" i="1"/>
  <c r="L33" i="1"/>
  <c r="L32" i="1"/>
  <c r="D33" i="1"/>
  <c r="D34" i="1"/>
  <c r="D35" i="1"/>
  <c r="D36" i="1"/>
  <c r="L31" i="1"/>
  <c r="F31" i="1"/>
  <c r="G31" i="1"/>
  <c r="F32" i="1"/>
  <c r="G32" i="1"/>
  <c r="F33" i="1"/>
  <c r="G33" i="1"/>
  <c r="D30" i="1"/>
  <c r="D31" i="1"/>
  <c r="D32" i="1"/>
  <c r="L28" i="1"/>
  <c r="L27" i="1"/>
  <c r="L26" i="1"/>
  <c r="F27" i="1"/>
  <c r="G27" i="1" s="1"/>
  <c r="F28" i="1"/>
  <c r="G28" i="1" s="1"/>
  <c r="L29" i="1"/>
  <c r="F29" i="1" s="1"/>
  <c r="G29" i="1" s="1"/>
  <c r="L30" i="1"/>
  <c r="F30" i="1" s="1"/>
  <c r="G30" i="1" s="1"/>
  <c r="D26" i="1"/>
  <c r="D27" i="1"/>
  <c r="D28" i="1"/>
  <c r="D29" i="1"/>
  <c r="L25" i="1"/>
  <c r="F22" i="1"/>
  <c r="F23" i="1"/>
  <c r="G23" i="1" s="1"/>
  <c r="F24" i="1"/>
  <c r="G24" i="1" s="1"/>
  <c r="F25" i="1"/>
  <c r="G25" i="1" s="1"/>
  <c r="F26" i="1"/>
  <c r="G26" i="1" s="1"/>
  <c r="D22" i="1"/>
  <c r="D23" i="1"/>
  <c r="D24" i="1"/>
  <c r="D25" i="1"/>
  <c r="D21" i="1"/>
  <c r="F19" i="1"/>
  <c r="F20" i="1"/>
  <c r="F21" i="1"/>
  <c r="G19" i="1"/>
  <c r="G20" i="1"/>
  <c r="G21" i="1"/>
  <c r="G22" i="1"/>
  <c r="D18" i="1"/>
  <c r="D19" i="1"/>
  <c r="D20" i="1"/>
  <c r="F15" i="1"/>
  <c r="F16" i="1"/>
  <c r="F17" i="1"/>
  <c r="G17" i="1" s="1"/>
  <c r="F18" i="1"/>
  <c r="G18" i="1" s="1"/>
  <c r="F14" i="1"/>
  <c r="D15" i="1"/>
  <c r="D16" i="1"/>
  <c r="D17" i="1"/>
  <c r="G14" i="1"/>
  <c r="G15" i="1"/>
  <c r="G16" i="1"/>
  <c r="D13" i="1"/>
  <c r="D14" i="1"/>
  <c r="G3" i="1"/>
  <c r="G4" i="1"/>
  <c r="G5" i="1"/>
  <c r="G6" i="1"/>
  <c r="G7" i="1"/>
  <c r="G8" i="1"/>
  <c r="G9" i="1"/>
  <c r="G10" i="1"/>
  <c r="G11" i="1"/>
  <c r="G12" i="1"/>
  <c r="G13" i="1"/>
  <c r="D12" i="1"/>
  <c r="D11" i="1"/>
  <c r="D10" i="1"/>
  <c r="D6" i="1"/>
  <c r="D7" i="1"/>
  <c r="D8" i="1"/>
  <c r="D9" i="1"/>
  <c r="D5" i="1"/>
  <c r="D4" i="1"/>
  <c r="D2" i="1"/>
  <c r="D3" i="1"/>
  <c r="G2" i="1"/>
  <c r="I7" i="6" l="1"/>
  <c r="I8" i="6"/>
  <c r="I9" i="6"/>
  <c r="I10" i="6"/>
  <c r="I13" i="6"/>
  <c r="I14" i="6"/>
  <c r="I16" i="6"/>
  <c r="I17" i="6"/>
  <c r="I18" i="6"/>
  <c r="I19" i="6"/>
  <c r="I21" i="6"/>
  <c r="I22" i="6"/>
  <c r="I23" i="6"/>
  <c r="I24" i="6"/>
  <c r="I25" i="6"/>
  <c r="I28" i="6"/>
  <c r="I29" i="6"/>
  <c r="I30" i="6"/>
  <c r="I32" i="6"/>
  <c r="I35" i="6"/>
  <c r="I36" i="6"/>
  <c r="I37" i="6"/>
  <c r="I38" i="6"/>
  <c r="I39" i="6"/>
  <c r="I41" i="6"/>
  <c r="I45" i="6"/>
  <c r="I46" i="6"/>
  <c r="I47" i="6"/>
  <c r="I50" i="6"/>
  <c r="I51" i="6"/>
  <c r="I56" i="6"/>
  <c r="I57" i="6"/>
  <c r="I58" i="6"/>
  <c r="I59" i="6"/>
  <c r="I60" i="6"/>
  <c r="I61" i="6"/>
  <c r="I62" i="6"/>
  <c r="E53" i="5"/>
  <c r="E52" i="5"/>
  <c r="E51" i="5"/>
  <c r="E50" i="5"/>
  <c r="E62" i="5"/>
  <c r="E61" i="5"/>
  <c r="F60" i="5"/>
  <c r="I60" i="5"/>
  <c r="F59" i="5"/>
  <c r="I59" i="5"/>
  <c r="E57" i="5"/>
  <c r="E56" i="5"/>
  <c r="E68" i="5"/>
  <c r="E67" i="5"/>
  <c r="E66" i="5"/>
  <c r="E65" i="5"/>
  <c r="E64" i="5"/>
  <c r="E75" i="5"/>
  <c r="E73" i="5"/>
  <c r="E72" i="5"/>
  <c r="E71" i="5"/>
  <c r="E82" i="5"/>
  <c r="E81" i="5"/>
  <c r="E80" i="5"/>
  <c r="E79" i="5"/>
  <c r="E78" i="5"/>
  <c r="E90" i="5"/>
  <c r="E89" i="5"/>
  <c r="E88" i="5"/>
  <c r="E84" i="5"/>
  <c r="E94" i="5"/>
  <c r="E93" i="5"/>
  <c r="E105" i="5"/>
  <c r="E104" i="5"/>
  <c r="E103" i="5"/>
  <c r="E102" i="5"/>
  <c r="E101" i="5"/>
  <c r="E100" i="5"/>
  <c r="E99" i="5"/>
  <c r="P87" i="2"/>
  <c r="P86" i="2"/>
  <c r="P85" i="3"/>
  <c r="P84" i="3"/>
  <c r="P85" i="2"/>
  <c r="P84" i="2"/>
  <c r="P83" i="2"/>
  <c r="P83" i="3"/>
  <c r="P82" i="2"/>
  <c r="P82" i="3"/>
  <c r="P81" i="2"/>
  <c r="P78" i="3"/>
  <c r="P76" i="2"/>
  <c r="P71" i="4"/>
  <c r="P77" i="3"/>
  <c r="P70" i="4"/>
  <c r="P76" i="3"/>
  <c r="P75" i="2"/>
  <c r="M73" i="3"/>
  <c r="M67" i="4"/>
  <c r="M72" i="2"/>
  <c r="P71" i="2"/>
  <c r="M66" i="4"/>
  <c r="M72" i="3"/>
  <c r="M65" i="4"/>
  <c r="M71" i="3"/>
  <c r="P70" i="2"/>
  <c r="M64" i="4"/>
  <c r="M70" i="3"/>
  <c r="M63" i="4"/>
  <c r="M69" i="3"/>
  <c r="P62" i="4"/>
  <c r="P68" i="3"/>
  <c r="P66" i="2"/>
  <c r="P64" i="2"/>
  <c r="P59" i="4"/>
  <c r="P65" i="3"/>
  <c r="P63" i="2"/>
  <c r="P58" i="4"/>
  <c r="P64" i="3"/>
  <c r="P62" i="2"/>
  <c r="P57" i="4"/>
  <c r="P63" i="3"/>
  <c r="P61" i="2"/>
  <c r="P56" i="4"/>
  <c r="P62" i="3"/>
  <c r="P60" i="2"/>
  <c r="P53" i="4"/>
  <c r="P59" i="3"/>
  <c r="P57" i="2"/>
  <c r="P52" i="4"/>
  <c r="P57" i="3"/>
  <c r="P55" i="2"/>
  <c r="P51" i="4"/>
  <c r="P50" i="4"/>
  <c r="P56" i="3"/>
  <c r="P54" i="2"/>
  <c r="P55" i="3"/>
  <c r="P53" i="2"/>
  <c r="M46" i="5"/>
  <c r="M52" i="3"/>
  <c r="M50" i="2"/>
  <c r="M45" i="5"/>
  <c r="M51" i="3"/>
  <c r="M45" i="4"/>
  <c r="M49" i="2"/>
  <c r="P44" i="5"/>
  <c r="P48" i="3"/>
  <c r="P47" i="3"/>
  <c r="P50" i="3"/>
  <c r="P44" i="4"/>
  <c r="P47" i="2"/>
  <c r="P42" i="5"/>
  <c r="P42" i="4"/>
  <c r="P46" i="3"/>
  <c r="Q42" i="2"/>
  <c r="N42" i="2"/>
  <c r="M42" i="2" s="1"/>
  <c r="F42" i="2"/>
  <c r="G42" i="2" s="1"/>
  <c r="P46" i="2"/>
  <c r="P41" i="5"/>
  <c r="P39" i="4"/>
  <c r="P44" i="3"/>
  <c r="P44" i="2"/>
  <c r="P43" i="3"/>
  <c r="P43" i="2"/>
  <c r="P42" i="2"/>
  <c r="M38" i="4"/>
  <c r="M42" i="3"/>
  <c r="P41" i="2"/>
  <c r="P37" i="4"/>
  <c r="P36" i="4"/>
  <c r="P35" i="4"/>
  <c r="P34" i="3"/>
  <c r="P35" i="3"/>
  <c r="P36" i="3"/>
  <c r="P39" i="3"/>
  <c r="P40" i="3"/>
  <c r="P41" i="3"/>
  <c r="P39" i="2"/>
  <c r="P38" i="2"/>
  <c r="M35" i="2"/>
  <c r="M34" i="2"/>
  <c r="P32" i="2"/>
  <c r="P33" i="2"/>
  <c r="M64" i="1"/>
  <c r="M63" i="1"/>
  <c r="M62" i="1"/>
  <c r="M61" i="1"/>
  <c r="M58" i="1"/>
  <c r="M57" i="1"/>
  <c r="M60" i="1"/>
  <c r="M56" i="1"/>
  <c r="M55" i="1"/>
  <c r="P54" i="1"/>
  <c r="E59" i="5" l="1"/>
  <c r="H59" i="5"/>
  <c r="E60" i="5"/>
  <c r="H60" i="5"/>
</calcChain>
</file>

<file path=xl/sharedStrings.xml><?xml version="1.0" encoding="utf-8"?>
<sst xmlns="http://schemas.openxmlformats.org/spreadsheetml/2006/main" count="1256" uniqueCount="223">
  <si>
    <t>Date</t>
  </si>
  <si>
    <t>Day</t>
  </si>
  <si>
    <t>Weight</t>
  </si>
  <si>
    <t>WeightPerc</t>
  </si>
  <si>
    <t>Water Cage</t>
  </si>
  <si>
    <t>Water Task</t>
  </si>
  <si>
    <t>Water Total</t>
  </si>
  <si>
    <t>Rig</t>
  </si>
  <si>
    <t>Experiment</t>
  </si>
  <si>
    <t>TimeStart</t>
  </si>
  <si>
    <t>TimeEnd</t>
  </si>
  <si>
    <t>nTrials</t>
  </si>
  <si>
    <t>nLick</t>
  </si>
  <si>
    <t>L-Move</t>
  </si>
  <si>
    <t>R-Move</t>
  </si>
  <si>
    <t>L-reward</t>
  </si>
  <si>
    <t>R-reward</t>
  </si>
  <si>
    <t>Notes</t>
  </si>
  <si>
    <t>Reward(uL)</t>
  </si>
  <si>
    <t>Mon</t>
  </si>
  <si>
    <t>Surgery recovery</t>
  </si>
  <si>
    <t>water restriction</t>
  </si>
  <si>
    <t>Tue</t>
  </si>
  <si>
    <t>funnel</t>
  </si>
  <si>
    <t>Wed</t>
  </si>
  <si>
    <t>habituation</t>
  </si>
  <si>
    <t>Thu</t>
  </si>
  <si>
    <t>Fri</t>
  </si>
  <si>
    <t>Sat</t>
  </si>
  <si>
    <t>Sun</t>
  </si>
  <si>
    <t>head fix</t>
  </si>
  <si>
    <t xml:space="preserve">lick training </t>
  </si>
  <si>
    <t>2 sec platform on</t>
  </si>
  <si>
    <t>break</t>
  </si>
  <si>
    <t>2 sec platform on * 64, 96  off * 220</t>
  </si>
  <si>
    <t>4sec off *79, on * 50</t>
  </si>
  <si>
    <t>4sec off *99 (33min), break (20min), 4 sec on *200 (18min)</t>
  </si>
  <si>
    <t>4sec off  *200 (30min),  4 sec on *80</t>
  </si>
  <si>
    <t>4sec off *28 (15min),  on *108 (8min), off *115 (23min)</t>
  </si>
  <si>
    <t>wheel training</t>
  </si>
  <si>
    <t>q26</t>
  </si>
  <si>
    <t>lick training*50, 2sec 11deg *170 (45min)</t>
  </si>
  <si>
    <t>lick training *50, 2 sec 23 deg *108 (45min)</t>
  </si>
  <si>
    <t xml:space="preserve">lick training *21 (struggle to stand, 9min), 2sec 23 deg *25 (10min), 11deg (25min)  </t>
  </si>
  <si>
    <t>2sec 11 deg *145 (31min)</t>
  </si>
  <si>
    <t>2sec 11deg  (going fast) *70 (5min), 23deg *250 (30min)</t>
  </si>
  <si>
    <t>2 sec 23 deg *160 (17min), 4sec 23deg * 21</t>
  </si>
  <si>
    <t>2 sec 23 deg *87 (45min)</t>
  </si>
  <si>
    <t>2sec 23deg *9 (slow, 12min), 2 sec 11 deg *101 (8 min), 2sec 23deg * 125 (30min)</t>
  </si>
  <si>
    <t>2sec 23deg * (right front limb not on wheel, right bias initially and corrected itself) (35min)</t>
  </si>
  <si>
    <t>2sec 23deg *(fast) * 300 (26min)</t>
  </si>
  <si>
    <t>2sec 23deg (fast) (7min)*115, 4sec 23deg *144 (27min), (coulborn issue at the end)</t>
  </si>
  <si>
    <t>4 sec 23 deg * 329</t>
  </si>
  <si>
    <t>opto</t>
  </si>
  <si>
    <t>4sec 23 deg opto *258 (30min) laser10</t>
  </si>
  <si>
    <t>4sec 23 deg opto *280 (30min) laser 10</t>
  </si>
  <si>
    <t>4sec 23 deg opto *276 (36min) laser 8</t>
  </si>
  <si>
    <t>4sec 23 deg opto * 291 (40min) laser 7</t>
  </si>
  <si>
    <t xml:space="preserve"> </t>
  </si>
  <si>
    <t>4sec 23 deg opto * 300 (30min) laser 6</t>
  </si>
  <si>
    <t>opto- revised</t>
  </si>
  <si>
    <t>4sec 23 deg opto * 300 (30min) laser 10  (protocol revised- 0.5s,2.5s)</t>
  </si>
  <si>
    <t>opto-unilateral - left first</t>
  </si>
  <si>
    <t>4sec 23 deg opto * 300 (30min) laser 10  (protocol revised- 0.5s,2.5s) (left to right at 113,114)</t>
  </si>
  <si>
    <t>4sec 23 deg opto * 300 (30min) laser 9  (protocol revised- 0.5s,2.5s) (left to right at 126,126)</t>
  </si>
  <si>
    <t>opto-unilateral- right first</t>
  </si>
  <si>
    <t>4sec 23 deg opto * 300 (30min) laser 10, coulbourn issue at 42,42 (right), start new, new coolterm file, continue with right, switch to left at 66,66 (new tril number), coulbourn issue again at 82,82</t>
  </si>
  <si>
    <t>Accuracy</t>
  </si>
  <si>
    <t>Acc-L</t>
  </si>
  <si>
    <t>Acc-R</t>
  </si>
  <si>
    <t>Bias</t>
  </si>
  <si>
    <t>ActionRate</t>
  </si>
  <si>
    <t>Corr-L</t>
  </si>
  <si>
    <t>InCorr-L</t>
  </si>
  <si>
    <t>Miss-L</t>
  </si>
  <si>
    <t>Corr-R</t>
  </si>
  <si>
    <t>InCorr-R</t>
  </si>
  <si>
    <t>Miss-R</t>
  </si>
  <si>
    <t>L-Probe-T1</t>
  </si>
  <si>
    <t>ProbeOn</t>
  </si>
  <si>
    <t>Reward</t>
  </si>
  <si>
    <t>task1</t>
  </si>
  <si>
    <t>150*100ms + 150*500ms</t>
  </si>
  <si>
    <t>150*500ms + 150*100ms</t>
  </si>
  <si>
    <t xml:space="preserve">80*500ms + 20 wheel training  + 186*2AFC </t>
  </si>
  <si>
    <t>64*2AFC + 20*wheel training+ 233 2AFC</t>
  </si>
  <si>
    <t>120*2AFC +20*wheel training + 162*2AFC</t>
  </si>
  <si>
    <t>300*2AFC</t>
  </si>
  <si>
    <t>154 *2AFC + 30 wheel training + 118 *2AFC</t>
  </si>
  <si>
    <t>131 *2AFC + 20 wheel training + 175 *2AFC</t>
  </si>
  <si>
    <t>160 *2AFC + 20 wheel training + 175 *2AFC</t>
  </si>
  <si>
    <t>free water 10 min</t>
  </si>
  <si>
    <t>habibtuation</t>
  </si>
  <si>
    <t>tried head fix, very stressed</t>
  </si>
  <si>
    <t>Head Fixation</t>
  </si>
  <si>
    <t>free water 8 min</t>
  </si>
  <si>
    <t>rest</t>
  </si>
  <si>
    <t>Head Fixation, ready for task</t>
  </si>
  <si>
    <t>Lick Training (no protocol results)</t>
  </si>
  <si>
    <t>Lick training 2 sec</t>
  </si>
  <si>
    <t>reward volume 80</t>
  </si>
  <si>
    <t>Lick training 4 sec ohh</t>
  </si>
  <si>
    <t>4ul till now. change to 2.5uL tomorrow</t>
  </si>
  <si>
    <t>reward volume 55</t>
  </si>
  <si>
    <t>Wheel training</t>
  </si>
  <si>
    <t>Started opto on day 1. Started with session 1, normal wheel training. In Session 2, did 50/100 normal/opto split; actino became really low. Used 0.5/2 sec as the interval. Session 3 go back to normal wheel training. Session 4 go back to PPC opto, used the parameters below</t>
  </si>
  <si>
    <t>Session 1 is opto</t>
  </si>
  <si>
    <t>Session 1 without opto, 4 sec random , 23 deg</t>
  </si>
  <si>
    <t>Session 1 Opto Left only, 4 sec, 35 deg</t>
  </si>
  <si>
    <t>Session 1 Opto Rightonly, 4 sec, 35 deg</t>
  </si>
  <si>
    <t>2AFC training</t>
  </si>
  <si>
    <t>4ul (105ms)</t>
  </si>
  <si>
    <t>4ul (73ms)</t>
  </si>
  <si>
    <t>Rest</t>
  </si>
  <si>
    <t>Corr-Opto</t>
  </si>
  <si>
    <t>Non-Opto-Accuracy</t>
  </si>
  <si>
    <t>Non-Opto-Bias</t>
  </si>
  <si>
    <t>Non-Opto-ActionRate</t>
  </si>
  <si>
    <t>Opto-Accuracy</t>
  </si>
  <si>
    <t>Opto-Acc-L</t>
  </si>
  <si>
    <t>Opto-Acc-R</t>
  </si>
  <si>
    <t>Opto-Bias</t>
  </si>
  <si>
    <t>Opto-ActionRate</t>
  </si>
  <si>
    <t>2AFC training with opto</t>
  </si>
  <si>
    <t>4 (74ms)</t>
  </si>
  <si>
    <t>Session 1, no opto for 30 trials, then opto session 2 for 70 trials (miss trials only have 1 sec delay), then session 3 opto for 200 trials (corrected for miss trials delay)</t>
  </si>
  <si>
    <t>Session1 opto*30 trials (issue with reward ), opto session 2* 200 trials</t>
  </si>
  <si>
    <t>2AFC training with opto right only</t>
  </si>
  <si>
    <t>RIght opto as in on the right side of the animal. Mouse kept voalizing during the whole experiment, unsure why</t>
  </si>
  <si>
    <t>2AFC training with opto left only</t>
  </si>
  <si>
    <t>Left opto as in on the right side of the animal.</t>
  </si>
  <si>
    <t>Right opto as in right side fo the animal</t>
  </si>
  <si>
    <t>Task 2, 2AFC training with opto bilateral</t>
  </si>
  <si>
    <t>Rest + Water</t>
  </si>
  <si>
    <t>6:40PM</t>
  </si>
  <si>
    <t>Noticed that the past 3 days (including this day), the amplitude of tones of L and R in task 2 is reversed. I.e. Left tone is very hard to hear, potentially giving this bias. Revised for next day.</t>
  </si>
  <si>
    <t>2:50PM</t>
  </si>
  <si>
    <t>Changed the tones to be balanced in loudness</t>
  </si>
  <si>
    <t>Wheel training (60 trials) + Task 2, 2AFC training with opto bilateral</t>
  </si>
  <si>
    <t>63 trials of wheel training before 2AFC training</t>
  </si>
  <si>
    <t>Wheel training (40 trials) + Task 2, 2AFC training with opto bilateral</t>
  </si>
  <si>
    <t>Wheel training (140 trials) + Task 2, 2AFC training with opto bilateral</t>
  </si>
  <si>
    <t>Task 2, left only training, no opto</t>
  </si>
  <si>
    <t>Task 2, left only training, no opto, do no-task 1 training</t>
  </si>
  <si>
    <t>Wheel training left_only</t>
  </si>
  <si>
    <t>Task 2, 80/20</t>
  </si>
  <si>
    <t>Task 2, 80/20, right not rewarded</t>
  </si>
  <si>
    <t>Task 2, 50/50, S1 (40 trials)</t>
  </si>
  <si>
    <t>Task 2, 50/50, opto T2 S2 (170 trials)</t>
  </si>
  <si>
    <t>Task 1, 50/50, opto T1 S3</t>
  </si>
  <si>
    <t>Task 1, 50/50,T1 S3</t>
  </si>
  <si>
    <t>experiment</t>
  </si>
  <si>
    <t>Lick training 4 sec off</t>
  </si>
  <si>
    <t>.</t>
  </si>
  <si>
    <t>Wheel training 2 sec</t>
  </si>
  <si>
    <t>25 deg 2 sec, reward 80</t>
  </si>
  <si>
    <t>Wheel training  4 sec opto</t>
  </si>
  <si>
    <t>25 deg 4 sec opto in session 1, very biased, go back to wheel training in session 2 for 10 mintes, then started opto in session 3. Coulbourn accidentally quitted around 20 minutes.</t>
  </si>
  <si>
    <t>25 deg  4 sec for 10 minutes, left only opto 12 min, coulbourn quit. Session 3 with Opto after some rest after session 2 at around 6:40-7:00pm. Achieved 70 reward on both side (70, 70 for rewad, 95 135 for movement)</t>
  </si>
  <si>
    <t>Wheel training  4 sec</t>
  </si>
  <si>
    <t>Wheel training before 2AFC</t>
  </si>
  <si>
    <t>3.8(105ms)</t>
  </si>
  <si>
    <t>25 deg 2AFC, started with 40 trials wheel training, then 2AFC trainin gfor 250 trials</t>
  </si>
  <si>
    <t xml:space="preserve">Very low motivation, did another session of wheel training afterward (total of 99 trials with 0.4ml reward), </t>
  </si>
  <si>
    <t>Wheel training + 2AFC training</t>
  </si>
  <si>
    <t>session1: wheel*25 (4ul)</t>
  </si>
  <si>
    <t>First 70 trials, no opto, regular training</t>
  </si>
  <si>
    <t>2AFC training opto bilateral</t>
  </si>
  <si>
    <t xml:space="preserve">270 trials in session 2 of the day. Bilaeral opto. </t>
  </si>
  <si>
    <t>Rest + water</t>
  </si>
  <si>
    <t>8:00PM</t>
  </si>
  <si>
    <t>3:40PM</t>
  </si>
  <si>
    <t>2AFC training opto left only</t>
  </si>
  <si>
    <t>2AFC training opto rightonly</t>
  </si>
  <si>
    <t>2AFC training (No opto by mistake)</t>
  </si>
  <si>
    <t>2AFC training opto Right only</t>
  </si>
  <si>
    <t>2AFC training (No opto) left only</t>
  </si>
  <si>
    <t>2AFC training 80-20 L-R Task 1</t>
  </si>
  <si>
    <t>2AFC training  Task 1</t>
  </si>
  <si>
    <t>9:05pm</t>
  </si>
  <si>
    <t>12:15pm</t>
  </si>
  <si>
    <t>12:30PM</t>
  </si>
  <si>
    <t>no dot</t>
  </si>
  <si>
    <t>Started water restriction</t>
  </si>
  <si>
    <t>Free water 10min</t>
  </si>
  <si>
    <t>Free water for 628 to recover</t>
  </si>
  <si>
    <t>Head fixation</t>
  </si>
  <si>
    <t>Lick Training 2 sec</t>
  </si>
  <si>
    <t>reward 80</t>
  </si>
  <si>
    <t>Lick Training 4 sec</t>
  </si>
  <si>
    <t>Lick Training 4 sec off</t>
  </si>
  <si>
    <t>reward 55</t>
  </si>
  <si>
    <t>Coulbourn stopped running halfway</t>
  </si>
  <si>
    <t>reward 80, lower action rate, but coulbourn stopped halfway. Only 1 of 2 funnel is usable</t>
  </si>
  <si>
    <t>Wheel training 4 sec</t>
  </si>
  <si>
    <t>4 sec, 23 deg, Reward 4uL, session 1 wheel, session 2 optoL</t>
  </si>
  <si>
    <t>Wheel training 4 sec + opto</t>
  </si>
  <si>
    <t>3.8 (105ms)</t>
  </si>
  <si>
    <t xml:space="preserve">Session 1 with out opto, did left and right for both 30 trials, session 2 opto with L, only did 40 trials in total in 17 minutes, switch back to normal wheel trainig in session3  </t>
  </si>
  <si>
    <t>Wheel training 4 sec + optoL</t>
  </si>
  <si>
    <t>10min no opto + 25 min opto</t>
  </si>
  <si>
    <t>Wheel training for 40 trials before 2AFC</t>
  </si>
  <si>
    <t>Auditory 2AFC</t>
  </si>
  <si>
    <t>9:33 am</t>
  </si>
  <si>
    <t>10:10am</t>
  </si>
  <si>
    <t>Wheel training (40 trials) + 2AFC</t>
  </si>
  <si>
    <t>Auditory 2AFC (but give a rest if accuracy reached 0.65 on prev day)</t>
  </si>
  <si>
    <t>Rest + test if funnel is saveable</t>
  </si>
  <si>
    <t>Auditory 2AFC + unilateral Left opto</t>
  </si>
  <si>
    <t>Auditory 2AFC Task 2 -- Headpost detache</t>
  </si>
  <si>
    <t>Stop training</t>
  </si>
  <si>
    <t>dot on head</t>
  </si>
  <si>
    <t>Head Fixation + lick training</t>
  </si>
  <si>
    <t>Lick Training</t>
  </si>
  <si>
    <t>Rest due to coulbourn breakdown</t>
  </si>
  <si>
    <t>Wheel training 2 sec 23 deg</t>
  </si>
  <si>
    <t>COulbourn quiited unexpectedly</t>
  </si>
  <si>
    <t>No training due to coulbourn issue</t>
  </si>
  <si>
    <t>Wheel training 4 sec 35 deg</t>
  </si>
  <si>
    <t>10:20AM</t>
  </si>
  <si>
    <t>10:25AM</t>
  </si>
  <si>
    <t>11:15AM</t>
  </si>
  <si>
    <t>Rest+water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</si>
</sst>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20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49" fontId="0" fillId="0" borderId="0" xfId="0" applyNumberFormat="1"/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209550</xdr:colOff>
      <xdr:row>17</xdr:row>
      <xdr:rowOff>66675</xdr:rowOff>
    </xdr:from>
    <xdr:to>
      <xdr:col>33</xdr:col>
      <xdr:colOff>266700</xdr:colOff>
      <xdr:row>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8BD37-D1E7-EFCA-A0FC-044D47031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69075" y="3486150"/>
          <a:ext cx="4572000" cy="233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"/>
  <sheetViews>
    <sheetView workbookViewId="0">
      <selection activeCell="C31" sqref="C31"/>
    </sheetView>
  </sheetViews>
  <sheetFormatPr defaultRowHeight="15"/>
  <cols>
    <col min="1" max="1" width="10.140625" bestFit="1" customWidth="1"/>
    <col min="4" max="4" width="10.7109375" style="7" customWidth="1"/>
    <col min="9" max="9" width="15.42578125" customWidth="1"/>
    <col min="18" max="18" width="85.5703125" customWidth="1"/>
    <col min="19" max="19" width="10.85546875" customWidth="1"/>
    <col min="37" max="37" width="36.85546875" customWidth="1"/>
  </cols>
  <sheetData>
    <row r="1" spans="1:19" ht="27.7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>
      <c r="A2" s="3">
        <v>45467</v>
      </c>
      <c r="B2" s="4" t="s">
        <v>19</v>
      </c>
      <c r="C2">
        <v>23.1</v>
      </c>
      <c r="D2" s="7">
        <f>C2/C2</f>
        <v>1</v>
      </c>
      <c r="G2">
        <f>E2+F2</f>
        <v>0</v>
      </c>
      <c r="I2" t="s">
        <v>20</v>
      </c>
    </row>
    <row r="3" spans="1:19">
      <c r="A3" s="5">
        <v>45474</v>
      </c>
      <c r="B3" t="s">
        <v>19</v>
      </c>
      <c r="C3">
        <v>23</v>
      </c>
      <c r="D3" s="7">
        <f>C3/C2</f>
        <v>0.9956709956709956</v>
      </c>
      <c r="G3">
        <f t="shared" ref="G3:G26" si="0">E3+F3</f>
        <v>0</v>
      </c>
      <c r="I3" t="s">
        <v>21</v>
      </c>
    </row>
    <row r="4" spans="1:19">
      <c r="A4" s="5">
        <v>45482</v>
      </c>
      <c r="B4" t="s">
        <v>22</v>
      </c>
      <c r="C4">
        <v>17.7</v>
      </c>
      <c r="D4" s="7">
        <f>C4 / $C$2</f>
        <v>0.76623376623376616</v>
      </c>
      <c r="G4">
        <f t="shared" si="0"/>
        <v>0</v>
      </c>
      <c r="I4" t="s">
        <v>23</v>
      </c>
    </row>
    <row r="5" spans="1:19">
      <c r="A5" s="5">
        <v>45483</v>
      </c>
      <c r="B5" t="s">
        <v>24</v>
      </c>
      <c r="C5">
        <v>17.2</v>
      </c>
      <c r="D5" s="7">
        <f t="shared" ref="D5:D42" si="1">C5 / $C$2</f>
        <v>0.74458874458874447</v>
      </c>
      <c r="F5">
        <v>1</v>
      </c>
      <c r="G5">
        <f t="shared" si="0"/>
        <v>1</v>
      </c>
      <c r="I5" t="s">
        <v>25</v>
      </c>
    </row>
    <row r="6" spans="1:19">
      <c r="A6" s="5">
        <v>45484</v>
      </c>
      <c r="B6" t="s">
        <v>26</v>
      </c>
      <c r="C6">
        <v>17.5</v>
      </c>
      <c r="D6" s="7">
        <f t="shared" si="1"/>
        <v>0.75757575757575757</v>
      </c>
      <c r="F6">
        <v>1.2</v>
      </c>
      <c r="G6">
        <f t="shared" si="0"/>
        <v>1.2</v>
      </c>
      <c r="I6" t="s">
        <v>25</v>
      </c>
    </row>
    <row r="7" spans="1:19">
      <c r="A7" s="5">
        <v>45485</v>
      </c>
      <c r="B7" t="s">
        <v>27</v>
      </c>
      <c r="C7">
        <v>17.899999999999999</v>
      </c>
      <c r="D7" s="7">
        <f t="shared" si="1"/>
        <v>0.77489177489177474</v>
      </c>
      <c r="F7">
        <v>1.5</v>
      </c>
      <c r="G7">
        <f t="shared" si="0"/>
        <v>1.5</v>
      </c>
      <c r="I7" t="s">
        <v>25</v>
      </c>
    </row>
    <row r="8" spans="1:19">
      <c r="A8" s="5">
        <v>45486</v>
      </c>
      <c r="B8" t="s">
        <v>28</v>
      </c>
      <c r="C8">
        <v>18.2</v>
      </c>
      <c r="D8" s="7">
        <f t="shared" si="1"/>
        <v>0.78787878787878785</v>
      </c>
      <c r="F8">
        <v>1.5</v>
      </c>
      <c r="G8">
        <f t="shared" si="0"/>
        <v>1.5</v>
      </c>
      <c r="I8" t="s">
        <v>25</v>
      </c>
    </row>
    <row r="9" spans="1:19">
      <c r="A9" s="5">
        <v>45487</v>
      </c>
      <c r="B9" t="s">
        <v>29</v>
      </c>
      <c r="C9">
        <v>18.399999999999999</v>
      </c>
      <c r="D9" s="7">
        <f t="shared" si="1"/>
        <v>0.79653679653679643</v>
      </c>
      <c r="F9">
        <v>1.5</v>
      </c>
      <c r="G9">
        <f t="shared" si="0"/>
        <v>1.5</v>
      </c>
      <c r="I9" t="s">
        <v>25</v>
      </c>
    </row>
    <row r="10" spans="1:19">
      <c r="A10" s="5">
        <v>45488</v>
      </c>
      <c r="B10" t="s">
        <v>19</v>
      </c>
      <c r="C10">
        <v>18.8</v>
      </c>
      <c r="D10" s="7">
        <f t="shared" si="1"/>
        <v>0.81385281385281383</v>
      </c>
      <c r="F10">
        <v>1.5</v>
      </c>
      <c r="G10">
        <f t="shared" si="0"/>
        <v>1.5</v>
      </c>
      <c r="I10" t="s">
        <v>25</v>
      </c>
    </row>
    <row r="11" spans="1:19">
      <c r="A11" s="5">
        <v>45489</v>
      </c>
      <c r="B11" t="s">
        <v>22</v>
      </c>
      <c r="C11">
        <v>19</v>
      </c>
      <c r="D11" s="7">
        <f t="shared" si="1"/>
        <v>0.82251082251082241</v>
      </c>
      <c r="E11">
        <v>1</v>
      </c>
      <c r="F11">
        <v>0.2</v>
      </c>
      <c r="G11">
        <f t="shared" si="0"/>
        <v>1.2</v>
      </c>
      <c r="I11" t="s">
        <v>30</v>
      </c>
    </row>
    <row r="12" spans="1:19">
      <c r="A12" s="5">
        <v>45490</v>
      </c>
      <c r="B12" t="s">
        <v>24</v>
      </c>
      <c r="C12">
        <v>19.7</v>
      </c>
      <c r="D12" s="7">
        <f t="shared" si="1"/>
        <v>0.85281385281385269</v>
      </c>
      <c r="F12">
        <v>1</v>
      </c>
      <c r="G12">
        <f t="shared" si="0"/>
        <v>1</v>
      </c>
      <c r="I12" t="s">
        <v>30</v>
      </c>
    </row>
    <row r="13" spans="1:19">
      <c r="A13" s="5">
        <v>45491</v>
      </c>
      <c r="B13" t="s">
        <v>26</v>
      </c>
      <c r="C13">
        <v>19.7</v>
      </c>
      <c r="D13" s="7">
        <f t="shared" si="1"/>
        <v>0.85281385281385269</v>
      </c>
      <c r="E13">
        <v>0.3</v>
      </c>
      <c r="F13">
        <v>0.7</v>
      </c>
      <c r="G13">
        <f t="shared" si="0"/>
        <v>1</v>
      </c>
      <c r="I13" t="s">
        <v>30</v>
      </c>
    </row>
    <row r="14" spans="1:19">
      <c r="A14" s="5">
        <v>45492</v>
      </c>
      <c r="B14" t="s">
        <v>27</v>
      </c>
      <c r="C14">
        <v>19.3</v>
      </c>
      <c r="D14" s="7">
        <f t="shared" si="1"/>
        <v>0.83549783549783552</v>
      </c>
      <c r="E14">
        <v>0.5</v>
      </c>
      <c r="F14">
        <f>L14*S14/1000</f>
        <v>0.55000000000000004</v>
      </c>
      <c r="G14">
        <f t="shared" si="0"/>
        <v>1.05</v>
      </c>
      <c r="I14" t="s">
        <v>31</v>
      </c>
      <c r="J14" s="8">
        <v>0.68055555555555558</v>
      </c>
      <c r="K14" s="8">
        <v>0.70486111111111116</v>
      </c>
      <c r="L14">
        <v>220</v>
      </c>
      <c r="R14" t="s">
        <v>32</v>
      </c>
      <c r="S14">
        <v>2.5</v>
      </c>
    </row>
    <row r="15" spans="1:19">
      <c r="A15" s="5">
        <v>45493</v>
      </c>
      <c r="B15" t="s">
        <v>28</v>
      </c>
      <c r="C15">
        <v>19.5</v>
      </c>
      <c r="D15" s="7">
        <f t="shared" si="1"/>
        <v>0.8441558441558441</v>
      </c>
      <c r="E15">
        <v>1</v>
      </c>
      <c r="F15">
        <f t="shared" ref="F15:F21" si="2">L15*S15/1000</f>
        <v>0</v>
      </c>
      <c r="G15">
        <f t="shared" si="0"/>
        <v>1</v>
      </c>
      <c r="I15" t="s">
        <v>33</v>
      </c>
    </row>
    <row r="16" spans="1:19">
      <c r="A16" s="5">
        <v>45494</v>
      </c>
      <c r="B16" t="s">
        <v>29</v>
      </c>
      <c r="C16">
        <v>19.5</v>
      </c>
      <c r="D16" s="7">
        <f t="shared" si="1"/>
        <v>0.8441558441558441</v>
      </c>
      <c r="E16">
        <v>0.9</v>
      </c>
      <c r="F16">
        <f t="shared" si="2"/>
        <v>0</v>
      </c>
      <c r="G16">
        <f t="shared" si="0"/>
        <v>0.9</v>
      </c>
    </row>
    <row r="17" spans="1:19">
      <c r="A17" s="5">
        <v>45495</v>
      </c>
      <c r="B17" t="s">
        <v>19</v>
      </c>
      <c r="C17">
        <v>19.399999999999999</v>
      </c>
      <c r="D17" s="7">
        <f t="shared" si="1"/>
        <v>0.8398268398268397</v>
      </c>
      <c r="E17">
        <v>0.5</v>
      </c>
      <c r="F17">
        <f t="shared" si="2"/>
        <v>0.45</v>
      </c>
      <c r="G17">
        <f t="shared" si="0"/>
        <v>0.95</v>
      </c>
      <c r="I17" t="s">
        <v>31</v>
      </c>
      <c r="J17" s="8">
        <v>0.68055555555555558</v>
      </c>
      <c r="L17">
        <v>180</v>
      </c>
      <c r="R17" t="s">
        <v>34</v>
      </c>
      <c r="S17">
        <v>2.5</v>
      </c>
    </row>
    <row r="18" spans="1:19">
      <c r="A18" s="5">
        <v>45496</v>
      </c>
      <c r="B18" t="s">
        <v>22</v>
      </c>
      <c r="C18">
        <v>19.7</v>
      </c>
      <c r="D18" s="7">
        <f t="shared" si="1"/>
        <v>0.85281385281385269</v>
      </c>
      <c r="E18">
        <v>0.5</v>
      </c>
      <c r="F18">
        <f>L18*S18/1000</f>
        <v>0.32500000000000001</v>
      </c>
      <c r="G18">
        <f t="shared" si="0"/>
        <v>0.82499999999999996</v>
      </c>
      <c r="I18" t="s">
        <v>31</v>
      </c>
      <c r="L18">
        <v>130</v>
      </c>
      <c r="R18" t="s">
        <v>35</v>
      </c>
      <c r="S18">
        <v>2.5</v>
      </c>
    </row>
    <row r="19" spans="1:19">
      <c r="A19" s="5">
        <v>45497</v>
      </c>
      <c r="B19" t="s">
        <v>24</v>
      </c>
      <c r="C19">
        <v>19.600000000000001</v>
      </c>
      <c r="D19" s="7">
        <f t="shared" si="1"/>
        <v>0.84848484848484851</v>
      </c>
      <c r="E19">
        <v>0</v>
      </c>
      <c r="F19">
        <f t="shared" ref="F19:F25" si="3">L19*S19/1000</f>
        <v>0.75</v>
      </c>
      <c r="G19">
        <f t="shared" si="0"/>
        <v>0.75</v>
      </c>
      <c r="I19" t="s">
        <v>31</v>
      </c>
      <c r="L19">
        <v>300</v>
      </c>
      <c r="R19" t="s">
        <v>36</v>
      </c>
      <c r="S19">
        <v>2.5</v>
      </c>
    </row>
    <row r="20" spans="1:19">
      <c r="A20" s="5">
        <v>45498</v>
      </c>
      <c r="B20" t="s">
        <v>26</v>
      </c>
      <c r="C20">
        <v>19.600000000000001</v>
      </c>
      <c r="D20" s="7">
        <f t="shared" si="1"/>
        <v>0.84848484848484851</v>
      </c>
      <c r="E20">
        <v>0</v>
      </c>
      <c r="F20">
        <f t="shared" si="3"/>
        <v>0.61499999999999999</v>
      </c>
      <c r="G20">
        <f t="shared" si="0"/>
        <v>0.61499999999999999</v>
      </c>
      <c r="I20" t="s">
        <v>31</v>
      </c>
      <c r="L20">
        <v>246</v>
      </c>
      <c r="R20" t="s">
        <v>37</v>
      </c>
      <c r="S20">
        <v>2.5</v>
      </c>
    </row>
    <row r="21" spans="1:19">
      <c r="A21" s="5">
        <v>45499</v>
      </c>
      <c r="B21" t="s">
        <v>27</v>
      </c>
      <c r="C21">
        <v>19.3</v>
      </c>
      <c r="D21" s="7">
        <f t="shared" si="1"/>
        <v>0.83549783549783552</v>
      </c>
      <c r="E21">
        <v>0</v>
      </c>
      <c r="F21">
        <f t="shared" si="3"/>
        <v>0.62749999999999995</v>
      </c>
      <c r="G21">
        <f t="shared" si="0"/>
        <v>0.62749999999999995</v>
      </c>
      <c r="I21" t="s">
        <v>31</v>
      </c>
      <c r="L21">
        <v>251</v>
      </c>
      <c r="R21" t="s">
        <v>38</v>
      </c>
      <c r="S21">
        <v>2.5</v>
      </c>
    </row>
    <row r="22" spans="1:19">
      <c r="A22" s="5">
        <v>45500</v>
      </c>
      <c r="B22" t="s">
        <v>28</v>
      </c>
      <c r="C22">
        <v>19.2</v>
      </c>
      <c r="D22" s="7">
        <f t="shared" si="1"/>
        <v>0.83116883116883111</v>
      </c>
      <c r="E22">
        <v>0.7</v>
      </c>
      <c r="F22">
        <f t="shared" si="3"/>
        <v>0</v>
      </c>
      <c r="G22">
        <f t="shared" si="0"/>
        <v>0.7</v>
      </c>
      <c r="I22" t="s">
        <v>33</v>
      </c>
    </row>
    <row r="23" spans="1:19">
      <c r="A23" s="5">
        <v>45501</v>
      </c>
      <c r="B23" t="s">
        <v>29</v>
      </c>
      <c r="C23">
        <v>19</v>
      </c>
      <c r="D23" s="7">
        <f t="shared" si="1"/>
        <v>0.82251082251082241</v>
      </c>
      <c r="E23">
        <v>0.7</v>
      </c>
      <c r="F23">
        <f t="shared" si="3"/>
        <v>0</v>
      </c>
      <c r="G23">
        <f t="shared" si="0"/>
        <v>0.7</v>
      </c>
      <c r="I23" t="s">
        <v>33</v>
      </c>
    </row>
    <row r="24" spans="1:19">
      <c r="A24" s="5">
        <v>45502</v>
      </c>
      <c r="B24" t="s">
        <v>19</v>
      </c>
      <c r="C24">
        <v>19.100000000000001</v>
      </c>
      <c r="D24" s="7">
        <f t="shared" si="1"/>
        <v>0.82683982683982682</v>
      </c>
      <c r="E24">
        <v>0.75</v>
      </c>
      <c r="F24">
        <f t="shared" si="3"/>
        <v>0</v>
      </c>
      <c r="G24">
        <f t="shared" si="0"/>
        <v>0.75</v>
      </c>
      <c r="I24" t="s">
        <v>33</v>
      </c>
      <c r="J24" s="8"/>
    </row>
    <row r="25" spans="1:19">
      <c r="A25" s="5">
        <v>45503</v>
      </c>
      <c r="B25" t="s">
        <v>22</v>
      </c>
      <c r="C25">
        <v>19.2</v>
      </c>
      <c r="D25" s="7">
        <f t="shared" si="1"/>
        <v>0.83116883116883111</v>
      </c>
      <c r="E25">
        <v>0.6</v>
      </c>
      <c r="F25">
        <f t="shared" si="3"/>
        <v>8.2500000000000004E-2</v>
      </c>
      <c r="G25">
        <f t="shared" si="0"/>
        <v>0.6825</v>
      </c>
      <c r="I25" t="s">
        <v>39</v>
      </c>
      <c r="J25" s="8">
        <v>0.68194444444444446</v>
      </c>
      <c r="L25">
        <f>P25+Q25</f>
        <v>33</v>
      </c>
      <c r="M25">
        <v>428</v>
      </c>
      <c r="N25">
        <v>14</v>
      </c>
      <c r="O25">
        <v>67</v>
      </c>
      <c r="P25">
        <v>14</v>
      </c>
      <c r="Q25">
        <v>19</v>
      </c>
      <c r="R25" t="s">
        <v>40</v>
      </c>
      <c r="S25">
        <v>2.5</v>
      </c>
    </row>
    <row r="26" spans="1:19">
      <c r="A26" s="5">
        <v>45504</v>
      </c>
      <c r="B26" t="s">
        <v>24</v>
      </c>
      <c r="C26">
        <v>19</v>
      </c>
      <c r="D26" s="7">
        <f t="shared" si="1"/>
        <v>0.82251082251082241</v>
      </c>
      <c r="E26">
        <v>0.1</v>
      </c>
      <c r="F26">
        <f>L26*S26/1000</f>
        <v>0.5575</v>
      </c>
      <c r="G26">
        <f t="shared" si="0"/>
        <v>0.65749999999999997</v>
      </c>
      <c r="I26" t="s">
        <v>39</v>
      </c>
      <c r="L26">
        <f>P26+Q26+50</f>
        <v>223</v>
      </c>
      <c r="M26">
        <v>2601</v>
      </c>
      <c r="N26">
        <v>86</v>
      </c>
      <c r="O26">
        <v>274</v>
      </c>
      <c r="P26">
        <v>84</v>
      </c>
      <c r="Q26">
        <v>89</v>
      </c>
      <c r="R26" t="s">
        <v>41</v>
      </c>
      <c r="S26">
        <v>2.5</v>
      </c>
    </row>
    <row r="27" spans="1:19">
      <c r="A27" s="5">
        <v>45505</v>
      </c>
      <c r="B27" t="s">
        <v>26</v>
      </c>
      <c r="C27">
        <v>18.899999999999999</v>
      </c>
      <c r="D27" s="7">
        <f t="shared" si="1"/>
        <v>0.81818181818181812</v>
      </c>
      <c r="E27">
        <v>0.4</v>
      </c>
      <c r="F27">
        <f t="shared" ref="F27:F28" si="4">L27*S27/1000</f>
        <v>0.39500000000000002</v>
      </c>
      <c r="G27">
        <f t="shared" ref="G27:G29" si="5">E27+F27</f>
        <v>0.79500000000000004</v>
      </c>
      <c r="I27" t="s">
        <v>39</v>
      </c>
      <c r="L27">
        <f>P27+Q27+53</f>
        <v>158</v>
      </c>
      <c r="M27">
        <v>1761</v>
      </c>
      <c r="N27">
        <v>53</v>
      </c>
      <c r="O27">
        <v>118</v>
      </c>
      <c r="P27">
        <v>50</v>
      </c>
      <c r="Q27">
        <v>55</v>
      </c>
      <c r="R27" t="s">
        <v>42</v>
      </c>
      <c r="S27">
        <v>2.5</v>
      </c>
    </row>
    <row r="28" spans="1:19">
      <c r="A28" s="5">
        <v>45506</v>
      </c>
      <c r="B28" t="s">
        <v>27</v>
      </c>
      <c r="C28">
        <v>18.899999999999999</v>
      </c>
      <c r="D28" s="7">
        <f t="shared" si="1"/>
        <v>0.81818181818181812</v>
      </c>
      <c r="E28">
        <v>0</v>
      </c>
      <c r="F28">
        <f t="shared" si="4"/>
        <v>0.49249999999999999</v>
      </c>
      <c r="G28">
        <f t="shared" si="5"/>
        <v>0.49249999999999999</v>
      </c>
      <c r="I28" t="s">
        <v>39</v>
      </c>
      <c r="L28">
        <f>P28+Q28+21</f>
        <v>197</v>
      </c>
      <c r="M28">
        <v>2215</v>
      </c>
      <c r="N28">
        <v>76</v>
      </c>
      <c r="O28">
        <v>47</v>
      </c>
      <c r="P28">
        <v>83</v>
      </c>
      <c r="Q28">
        <v>93</v>
      </c>
      <c r="R28" t="s">
        <v>43</v>
      </c>
      <c r="S28">
        <v>2.5</v>
      </c>
    </row>
    <row r="29" spans="1:19">
      <c r="A29" s="5">
        <v>45507</v>
      </c>
      <c r="B29" t="s">
        <v>28</v>
      </c>
      <c r="C29">
        <v>18.899999999999999</v>
      </c>
      <c r="D29" s="7">
        <f t="shared" si="1"/>
        <v>0.81818181818181812</v>
      </c>
      <c r="E29">
        <v>0.4</v>
      </c>
      <c r="F29">
        <f t="shared" ref="F29:F30" si="6">L29*S29/1000</f>
        <v>0.36249999999999999</v>
      </c>
      <c r="G29">
        <f t="shared" ref="G29:G30" si="7">E29+F29</f>
        <v>0.76249999999999996</v>
      </c>
      <c r="I29" t="s">
        <v>39</v>
      </c>
      <c r="L29">
        <f t="shared" ref="L26:L30" si="8">P29+Q29</f>
        <v>145</v>
      </c>
      <c r="P29">
        <v>73</v>
      </c>
      <c r="Q29">
        <v>72</v>
      </c>
      <c r="R29" t="s">
        <v>44</v>
      </c>
      <c r="S29">
        <v>2.5</v>
      </c>
    </row>
    <row r="30" spans="1:19">
      <c r="A30" s="5">
        <v>45508</v>
      </c>
      <c r="B30" t="s">
        <v>29</v>
      </c>
      <c r="C30">
        <v>18.8</v>
      </c>
      <c r="D30" s="7">
        <f t="shared" si="1"/>
        <v>0.81385281385281383</v>
      </c>
      <c r="E30">
        <v>0.9</v>
      </c>
      <c r="F30">
        <f t="shared" si="6"/>
        <v>0</v>
      </c>
      <c r="G30">
        <f t="shared" si="7"/>
        <v>0.9</v>
      </c>
      <c r="I30" t="s">
        <v>33</v>
      </c>
      <c r="L30">
        <f t="shared" si="8"/>
        <v>0</v>
      </c>
      <c r="S30">
        <v>2.5</v>
      </c>
    </row>
    <row r="31" spans="1:19">
      <c r="A31" s="5">
        <v>45509</v>
      </c>
      <c r="B31" t="s">
        <v>19</v>
      </c>
      <c r="C31">
        <v>19.100000000000001</v>
      </c>
      <c r="D31" s="7">
        <f t="shared" si="1"/>
        <v>0.82683982683982682</v>
      </c>
      <c r="E31">
        <v>0</v>
      </c>
      <c r="F31">
        <f t="shared" ref="F31:F33" si="9">L31*S31/1000</f>
        <v>0.80249999999999999</v>
      </c>
      <c r="G31">
        <f t="shared" ref="G31:G33" si="10">E31+F31</f>
        <v>0.80249999999999999</v>
      </c>
      <c r="I31" t="s">
        <v>39</v>
      </c>
      <c r="L31">
        <f>P31+Q31+70</f>
        <v>321</v>
      </c>
      <c r="M31">
        <v>3146</v>
      </c>
      <c r="N31">
        <v>168</v>
      </c>
      <c r="O31">
        <v>165</v>
      </c>
      <c r="P31">
        <v>123</v>
      </c>
      <c r="Q31">
        <v>128</v>
      </c>
      <c r="R31" t="s">
        <v>45</v>
      </c>
      <c r="S31">
        <v>2.5</v>
      </c>
    </row>
    <row r="32" spans="1:19">
      <c r="A32" s="5">
        <v>45510</v>
      </c>
      <c r="B32" t="s">
        <v>22</v>
      </c>
      <c r="C32">
        <v>19</v>
      </c>
      <c r="D32" s="7">
        <f t="shared" si="1"/>
        <v>0.82251082251082241</v>
      </c>
      <c r="E32">
        <v>0.3</v>
      </c>
      <c r="F32">
        <f t="shared" si="9"/>
        <v>0.45250000000000001</v>
      </c>
      <c r="G32">
        <f t="shared" si="10"/>
        <v>0.75249999999999995</v>
      </c>
      <c r="I32" t="s">
        <v>39</v>
      </c>
      <c r="L32">
        <f>P32+Q32+160</f>
        <v>181</v>
      </c>
      <c r="M32">
        <v>227</v>
      </c>
      <c r="N32">
        <v>11</v>
      </c>
      <c r="O32">
        <v>53</v>
      </c>
      <c r="P32">
        <v>12</v>
      </c>
      <c r="Q32">
        <v>9</v>
      </c>
      <c r="R32" t="s">
        <v>46</v>
      </c>
      <c r="S32">
        <v>2.5</v>
      </c>
    </row>
    <row r="33" spans="1:19">
      <c r="A33" s="5">
        <v>45511</v>
      </c>
      <c r="B33" t="s">
        <v>24</v>
      </c>
      <c r="C33">
        <v>19</v>
      </c>
      <c r="D33" s="7">
        <f t="shared" si="1"/>
        <v>0.82251082251082241</v>
      </c>
      <c r="E33">
        <v>0.6</v>
      </c>
      <c r="F33">
        <f t="shared" si="9"/>
        <v>0.2175</v>
      </c>
      <c r="G33">
        <f t="shared" si="10"/>
        <v>0.8175</v>
      </c>
      <c r="I33" t="s">
        <v>39</v>
      </c>
      <c r="L33">
        <f>P33+Q33</f>
        <v>87</v>
      </c>
      <c r="M33">
        <v>1255</v>
      </c>
      <c r="N33">
        <v>41</v>
      </c>
      <c r="O33">
        <v>186</v>
      </c>
      <c r="P33">
        <v>41</v>
      </c>
      <c r="Q33">
        <v>46</v>
      </c>
      <c r="R33" t="s">
        <v>47</v>
      </c>
      <c r="S33">
        <v>2.5</v>
      </c>
    </row>
    <row r="34" spans="1:19">
      <c r="A34" s="5">
        <v>45512</v>
      </c>
      <c r="B34" t="s">
        <v>26</v>
      </c>
      <c r="C34">
        <v>19.100000000000001</v>
      </c>
      <c r="D34" s="7">
        <f t="shared" si="1"/>
        <v>0.82683982683982682</v>
      </c>
      <c r="E34">
        <v>0.1</v>
      </c>
      <c r="F34">
        <f t="shared" ref="F34" si="11">L34*S34/1000</f>
        <v>0.58750000000000002</v>
      </c>
      <c r="G34">
        <f t="shared" ref="G34" si="12">E34+F34</f>
        <v>0.6875</v>
      </c>
      <c r="I34" t="s">
        <v>39</v>
      </c>
      <c r="L34">
        <f>P34+Q34+110</f>
        <v>235</v>
      </c>
      <c r="M34">
        <v>897</v>
      </c>
      <c r="N34">
        <v>61</v>
      </c>
      <c r="O34">
        <v>115</v>
      </c>
      <c r="P34">
        <v>60</v>
      </c>
      <c r="Q34">
        <v>65</v>
      </c>
      <c r="R34" t="s">
        <v>48</v>
      </c>
      <c r="S34">
        <v>2.5</v>
      </c>
    </row>
    <row r="35" spans="1:19">
      <c r="A35" s="5">
        <v>45513</v>
      </c>
      <c r="B35" t="s">
        <v>27</v>
      </c>
      <c r="C35">
        <v>19.3</v>
      </c>
      <c r="D35" s="7">
        <f t="shared" si="1"/>
        <v>0.83549783549783552</v>
      </c>
      <c r="F35">
        <f t="shared" ref="F35:F36" si="13">L35*S35/1000</f>
        <v>0.67</v>
      </c>
      <c r="G35">
        <f t="shared" ref="G35:G36" si="14">E35+F35</f>
        <v>0.67</v>
      </c>
      <c r="I35" t="s">
        <v>39</v>
      </c>
      <c r="L35">
        <f>P35+Q35</f>
        <v>268</v>
      </c>
      <c r="M35">
        <v>1981</v>
      </c>
      <c r="N35">
        <v>135</v>
      </c>
      <c r="O35">
        <v>336</v>
      </c>
      <c r="P35">
        <v>132</v>
      </c>
      <c r="Q35">
        <v>136</v>
      </c>
      <c r="R35" t="s">
        <v>49</v>
      </c>
      <c r="S35">
        <v>2.5</v>
      </c>
    </row>
    <row r="36" spans="1:19">
      <c r="A36" s="5">
        <v>45514</v>
      </c>
      <c r="B36" t="s">
        <v>28</v>
      </c>
      <c r="C36">
        <v>19.3</v>
      </c>
      <c r="D36" s="7">
        <f t="shared" si="1"/>
        <v>0.83549783549783552</v>
      </c>
      <c r="F36">
        <f t="shared" si="13"/>
        <v>0.79249999999999998</v>
      </c>
      <c r="G36">
        <f t="shared" si="14"/>
        <v>0.79249999999999998</v>
      </c>
      <c r="I36" t="s">
        <v>39</v>
      </c>
      <c r="L36">
        <f>P36+Q36</f>
        <v>317</v>
      </c>
      <c r="M36">
        <v>3657</v>
      </c>
      <c r="N36">
        <v>157</v>
      </c>
      <c r="O36">
        <v>375</v>
      </c>
      <c r="P36">
        <v>156</v>
      </c>
      <c r="Q36">
        <v>161</v>
      </c>
      <c r="R36" t="s">
        <v>50</v>
      </c>
      <c r="S36">
        <v>2.5</v>
      </c>
    </row>
    <row r="37" spans="1:19">
      <c r="A37" s="5">
        <v>45515</v>
      </c>
      <c r="B37" t="s">
        <v>29</v>
      </c>
      <c r="C37">
        <v>19.5</v>
      </c>
      <c r="D37" s="7">
        <f t="shared" si="1"/>
        <v>0.8441558441558441</v>
      </c>
      <c r="F37">
        <v>0.6</v>
      </c>
      <c r="G37">
        <f t="shared" ref="G37:G39" si="15">E37+F37</f>
        <v>0.6</v>
      </c>
      <c r="I37" t="s">
        <v>33</v>
      </c>
      <c r="S37">
        <v>2.5</v>
      </c>
    </row>
    <row r="38" spans="1:19">
      <c r="A38" s="5">
        <v>45516</v>
      </c>
      <c r="B38" t="s">
        <v>19</v>
      </c>
      <c r="D38" s="7">
        <f t="shared" si="1"/>
        <v>0</v>
      </c>
      <c r="F38">
        <f t="shared" ref="F38:F39" si="16">L38*S38/1000</f>
        <v>0</v>
      </c>
      <c r="G38">
        <f t="shared" si="15"/>
        <v>0</v>
      </c>
      <c r="I38" t="s">
        <v>33</v>
      </c>
      <c r="S38">
        <v>2.5</v>
      </c>
    </row>
    <row r="39" spans="1:19">
      <c r="A39" s="5">
        <v>45517</v>
      </c>
      <c r="B39" t="s">
        <v>22</v>
      </c>
      <c r="C39">
        <v>18.2</v>
      </c>
      <c r="D39" s="7">
        <f t="shared" si="1"/>
        <v>0.78787878787878785</v>
      </c>
      <c r="F39">
        <f t="shared" si="16"/>
        <v>0.64749999999999996</v>
      </c>
      <c r="G39">
        <f t="shared" si="15"/>
        <v>0.64749999999999996</v>
      </c>
      <c r="I39" t="s">
        <v>39</v>
      </c>
      <c r="L39">
        <f>115+144</f>
        <v>259</v>
      </c>
      <c r="M39">
        <f>297+432</f>
        <v>729</v>
      </c>
      <c r="N39">
        <f>55+80</f>
        <v>135</v>
      </c>
      <c r="O39">
        <f>109+192</f>
        <v>301</v>
      </c>
      <c r="P39">
        <f>55+71</f>
        <v>126</v>
      </c>
      <c r="Q39">
        <f>60+73</f>
        <v>133</v>
      </c>
      <c r="R39" t="s">
        <v>51</v>
      </c>
      <c r="S39">
        <v>2.5</v>
      </c>
    </row>
    <row r="40" spans="1:19">
      <c r="A40" s="5">
        <v>45518</v>
      </c>
      <c r="B40" t="s">
        <v>24</v>
      </c>
      <c r="C40">
        <v>18.5</v>
      </c>
      <c r="D40" s="7">
        <f t="shared" si="1"/>
        <v>0.80086580086580084</v>
      </c>
      <c r="F40">
        <f t="shared" ref="F40" si="17">L40*S40/1000</f>
        <v>0.82250000000000001</v>
      </c>
      <c r="G40">
        <f t="shared" ref="G40" si="18">E40+F40</f>
        <v>0.82250000000000001</v>
      </c>
      <c r="I40" t="s">
        <v>39</v>
      </c>
      <c r="L40">
        <f>P40+Q40</f>
        <v>329</v>
      </c>
      <c r="M40">
        <v>5413</v>
      </c>
      <c r="N40">
        <v>263</v>
      </c>
      <c r="O40">
        <v>395</v>
      </c>
      <c r="P40">
        <v>163</v>
      </c>
      <c r="Q40">
        <v>166</v>
      </c>
      <c r="R40" t="s">
        <v>52</v>
      </c>
      <c r="S40">
        <v>2.5</v>
      </c>
    </row>
    <row r="41" spans="1:19">
      <c r="A41" s="5">
        <v>45519</v>
      </c>
      <c r="B41" t="s">
        <v>26</v>
      </c>
      <c r="C41">
        <v>18.8</v>
      </c>
      <c r="D41" s="7">
        <f t="shared" si="1"/>
        <v>0.81385281385281383</v>
      </c>
      <c r="F41">
        <f t="shared" ref="F41:F42" si="19">L41*S41/1000</f>
        <v>0.64500000000000002</v>
      </c>
      <c r="G41">
        <f t="shared" ref="G41:G42" si="20">E41+F41</f>
        <v>0.64500000000000002</v>
      </c>
      <c r="I41" t="s">
        <v>53</v>
      </c>
      <c r="L41">
        <f>P41+Q41</f>
        <v>258</v>
      </c>
      <c r="M41">
        <v>778</v>
      </c>
      <c r="N41">
        <v>198</v>
      </c>
      <c r="O41">
        <v>274</v>
      </c>
      <c r="P41">
        <v>129</v>
      </c>
      <c r="Q41">
        <v>129</v>
      </c>
      <c r="R41" t="s">
        <v>54</v>
      </c>
      <c r="S41">
        <v>2.5</v>
      </c>
    </row>
    <row r="42" spans="1:19">
      <c r="A42" s="5">
        <v>45520</v>
      </c>
      <c r="B42" t="s">
        <v>27</v>
      </c>
      <c r="C42">
        <v>18.7</v>
      </c>
      <c r="D42" s="7">
        <f t="shared" si="1"/>
        <v>0.80952380952380942</v>
      </c>
      <c r="F42">
        <f t="shared" si="19"/>
        <v>0.7</v>
      </c>
      <c r="G42">
        <f t="shared" si="20"/>
        <v>0.7</v>
      </c>
      <c r="I42" t="s">
        <v>53</v>
      </c>
      <c r="L42">
        <v>280</v>
      </c>
      <c r="M42">
        <v>858</v>
      </c>
      <c r="N42">
        <v>210</v>
      </c>
      <c r="O42">
        <v>300</v>
      </c>
      <c r="P42">
        <v>140</v>
      </c>
      <c r="Q42">
        <v>140</v>
      </c>
      <c r="R42" t="s">
        <v>55</v>
      </c>
      <c r="S42">
        <v>2.5</v>
      </c>
    </row>
    <row r="43" spans="1:19">
      <c r="A43" s="5">
        <v>45521</v>
      </c>
      <c r="B43" t="s">
        <v>28</v>
      </c>
      <c r="C43">
        <v>18.5</v>
      </c>
      <c r="D43" s="7">
        <f>C43 / $C$2</f>
        <v>0.80086580086580084</v>
      </c>
      <c r="F43">
        <f t="shared" ref="F43:F44" si="21">L43*S43/1000</f>
        <v>0.69</v>
      </c>
      <c r="G43">
        <f t="shared" ref="G43:G44" si="22">E43+F43</f>
        <v>0.69</v>
      </c>
      <c r="I43" t="s">
        <v>53</v>
      </c>
      <c r="L43">
        <f>P43+Q43</f>
        <v>276</v>
      </c>
      <c r="M43">
        <v>639</v>
      </c>
      <c r="N43">
        <v>190</v>
      </c>
      <c r="O43">
        <v>310</v>
      </c>
      <c r="P43">
        <v>138</v>
      </c>
      <c r="Q43">
        <v>138</v>
      </c>
      <c r="R43" t="s">
        <v>56</v>
      </c>
      <c r="S43">
        <v>2.5</v>
      </c>
    </row>
    <row r="44" spans="1:19">
      <c r="A44" s="5">
        <v>45522</v>
      </c>
      <c r="B44" t="s">
        <v>29</v>
      </c>
      <c r="C44">
        <v>18.8</v>
      </c>
      <c r="D44" s="7">
        <f>C44 / $C$2</f>
        <v>0.81385281385281383</v>
      </c>
      <c r="E44">
        <v>0.5</v>
      </c>
      <c r="F44">
        <f t="shared" si="21"/>
        <v>0</v>
      </c>
      <c r="G44">
        <f t="shared" si="22"/>
        <v>0.5</v>
      </c>
      <c r="I44" t="s">
        <v>33</v>
      </c>
      <c r="S44">
        <v>2.5</v>
      </c>
    </row>
    <row r="45" spans="1:19">
      <c r="A45" s="5">
        <v>45523</v>
      </c>
      <c r="B45" t="s">
        <v>19</v>
      </c>
      <c r="C45">
        <v>18.5</v>
      </c>
      <c r="D45" s="7">
        <f t="shared" ref="D45:D52" si="23">C45 / $C$2</f>
        <v>0.80086580086580084</v>
      </c>
      <c r="F45">
        <f t="shared" ref="F45:F48" si="24">L45*S45/1000</f>
        <v>0.72750000000000004</v>
      </c>
      <c r="G45">
        <f t="shared" ref="G45:G48" si="25">E45+F45</f>
        <v>0.72750000000000004</v>
      </c>
      <c r="I45" t="s">
        <v>53</v>
      </c>
      <c r="L45">
        <f>P45+Q45</f>
        <v>291</v>
      </c>
      <c r="M45">
        <v>737</v>
      </c>
      <c r="N45">
        <v>174</v>
      </c>
      <c r="O45">
        <v>367</v>
      </c>
      <c r="P45">
        <v>145</v>
      </c>
      <c r="Q45">
        <v>146</v>
      </c>
      <c r="R45" t="s">
        <v>57</v>
      </c>
      <c r="S45">
        <v>2.5</v>
      </c>
    </row>
    <row r="46" spans="1:19">
      <c r="A46" s="5">
        <v>45524</v>
      </c>
      <c r="B46" t="s">
        <v>22</v>
      </c>
      <c r="C46">
        <v>18.5</v>
      </c>
      <c r="D46" s="7">
        <f t="shared" si="23"/>
        <v>0.80086580086580084</v>
      </c>
      <c r="F46">
        <f t="shared" si="24"/>
        <v>0.76249999999999996</v>
      </c>
      <c r="G46">
        <f t="shared" si="25"/>
        <v>0.76249999999999996</v>
      </c>
      <c r="I46" t="s">
        <v>53</v>
      </c>
      <c r="L46">
        <v>305</v>
      </c>
      <c r="M46">
        <v>798</v>
      </c>
      <c r="N46">
        <v>186</v>
      </c>
      <c r="O46">
        <v>302</v>
      </c>
      <c r="P46">
        <v>152</v>
      </c>
      <c r="Q46">
        <v>153</v>
      </c>
      <c r="R46" t="s">
        <v>58</v>
      </c>
      <c r="S46">
        <v>2.5</v>
      </c>
    </row>
    <row r="47" spans="1:19">
      <c r="A47" s="5">
        <v>45525</v>
      </c>
      <c r="B47" t="s">
        <v>24</v>
      </c>
      <c r="C47">
        <v>18.7</v>
      </c>
      <c r="D47" s="7">
        <f t="shared" si="23"/>
        <v>0.80952380952380942</v>
      </c>
      <c r="F47">
        <f t="shared" si="24"/>
        <v>0.75</v>
      </c>
      <c r="G47">
        <f t="shared" si="25"/>
        <v>0.75</v>
      </c>
      <c r="I47" t="s">
        <v>53</v>
      </c>
      <c r="L47">
        <v>300</v>
      </c>
      <c r="M47">
        <v>861</v>
      </c>
      <c r="N47">
        <v>211</v>
      </c>
      <c r="O47">
        <v>293</v>
      </c>
      <c r="P47">
        <v>150</v>
      </c>
      <c r="Q47">
        <v>150</v>
      </c>
      <c r="R47" t="s">
        <v>59</v>
      </c>
      <c r="S47">
        <v>2.5</v>
      </c>
    </row>
    <row r="48" spans="1:19">
      <c r="A48" s="5">
        <v>45526</v>
      </c>
      <c r="B48" t="s">
        <v>26</v>
      </c>
      <c r="C48">
        <v>18.8</v>
      </c>
      <c r="D48" s="7">
        <f t="shared" si="23"/>
        <v>0.81385281385281383</v>
      </c>
      <c r="F48">
        <f t="shared" si="24"/>
        <v>0.75</v>
      </c>
      <c r="G48">
        <f t="shared" si="25"/>
        <v>0.75</v>
      </c>
      <c r="I48" t="s">
        <v>60</v>
      </c>
      <c r="L48">
        <v>300</v>
      </c>
      <c r="M48">
        <v>819</v>
      </c>
      <c r="N48">
        <v>239</v>
      </c>
      <c r="O48">
        <v>291</v>
      </c>
      <c r="P48">
        <v>151</v>
      </c>
      <c r="Q48">
        <v>151</v>
      </c>
      <c r="R48" t="s">
        <v>61</v>
      </c>
      <c r="S48">
        <v>2.5</v>
      </c>
    </row>
    <row r="49" spans="1:38">
      <c r="A49" s="5">
        <v>45527</v>
      </c>
      <c r="B49" t="s">
        <v>27</v>
      </c>
      <c r="C49">
        <v>18.5</v>
      </c>
      <c r="D49" s="7">
        <f t="shared" si="23"/>
        <v>0.80086580086580084</v>
      </c>
      <c r="F49">
        <f t="shared" ref="F49:F51" si="26">L49*S49/1000</f>
        <v>0.83250000000000002</v>
      </c>
      <c r="G49">
        <f t="shared" ref="G49:G51" si="27">E49+F49</f>
        <v>0.83250000000000002</v>
      </c>
      <c r="I49" t="s">
        <v>62</v>
      </c>
      <c r="L49">
        <f>P49+Q49</f>
        <v>333</v>
      </c>
      <c r="M49">
        <v>810</v>
      </c>
      <c r="N49">
        <v>227</v>
      </c>
      <c r="O49">
        <v>347</v>
      </c>
      <c r="P49">
        <v>166</v>
      </c>
      <c r="Q49">
        <v>167</v>
      </c>
      <c r="R49" t="s">
        <v>63</v>
      </c>
      <c r="S49">
        <v>2.5</v>
      </c>
    </row>
    <row r="50" spans="1:38">
      <c r="A50" s="5">
        <v>45528</v>
      </c>
      <c r="B50" t="s">
        <v>28</v>
      </c>
      <c r="C50">
        <v>18.7</v>
      </c>
      <c r="D50" s="7">
        <f t="shared" si="23"/>
        <v>0.80952380952380942</v>
      </c>
      <c r="F50">
        <f t="shared" si="26"/>
        <v>0.83250000000000002</v>
      </c>
      <c r="G50">
        <f t="shared" si="27"/>
        <v>0.83250000000000002</v>
      </c>
      <c r="I50" t="s">
        <v>62</v>
      </c>
      <c r="L50">
        <f>P50+Q50</f>
        <v>333</v>
      </c>
      <c r="M50">
        <v>527</v>
      </c>
      <c r="N50">
        <v>231</v>
      </c>
      <c r="O50">
        <v>346</v>
      </c>
      <c r="P50">
        <v>166</v>
      </c>
      <c r="Q50">
        <v>167</v>
      </c>
      <c r="R50" t="s">
        <v>64</v>
      </c>
      <c r="S50">
        <v>2.5</v>
      </c>
    </row>
    <row r="51" spans="1:38">
      <c r="A51" s="5">
        <v>45529</v>
      </c>
      <c r="B51" t="s">
        <v>29</v>
      </c>
      <c r="C51">
        <v>18.8</v>
      </c>
      <c r="D51" s="7">
        <f t="shared" si="23"/>
        <v>0.81385281385281383</v>
      </c>
      <c r="E51">
        <v>0.5</v>
      </c>
      <c r="F51">
        <f t="shared" si="26"/>
        <v>0</v>
      </c>
      <c r="G51">
        <f t="shared" si="27"/>
        <v>0.5</v>
      </c>
      <c r="I51" t="s">
        <v>33</v>
      </c>
      <c r="S51">
        <v>2.5</v>
      </c>
    </row>
    <row r="52" spans="1:38">
      <c r="A52" s="5">
        <v>45530</v>
      </c>
      <c r="B52" t="s">
        <v>19</v>
      </c>
      <c r="C52">
        <v>18.399999999999999</v>
      </c>
      <c r="D52" s="7">
        <f t="shared" si="23"/>
        <v>0.79653679653679643</v>
      </c>
      <c r="F52">
        <f t="shared" ref="F52:F55" si="28">L52*S52/1000</f>
        <v>0.82</v>
      </c>
      <c r="G52">
        <f t="shared" ref="G52:G55" si="29">E52+F52</f>
        <v>0.82</v>
      </c>
      <c r="I52" t="s">
        <v>65</v>
      </c>
      <c r="L52">
        <f>P52+Q52</f>
        <v>328</v>
      </c>
      <c r="N52">
        <f>63+116</f>
        <v>179</v>
      </c>
      <c r="O52">
        <f>117+152</f>
        <v>269</v>
      </c>
      <c r="P52">
        <v>164</v>
      </c>
      <c r="Q52">
        <v>164</v>
      </c>
      <c r="R52" t="s">
        <v>66</v>
      </c>
      <c r="S52">
        <v>2.5</v>
      </c>
    </row>
    <row r="53" spans="1:38" ht="29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9</v>
      </c>
      <c r="K53" s="1" t="s">
        <v>10</v>
      </c>
      <c r="L53" s="1" t="s">
        <v>11</v>
      </c>
      <c r="M53" s="2" t="s">
        <v>67</v>
      </c>
      <c r="N53" s="1" t="s">
        <v>68</v>
      </c>
      <c r="O53" s="1" t="s">
        <v>69</v>
      </c>
      <c r="P53" s="1" t="s">
        <v>70</v>
      </c>
      <c r="Q53" s="1" t="s">
        <v>71</v>
      </c>
      <c r="R53" s="2" t="s">
        <v>72</v>
      </c>
      <c r="S53" s="2" t="s">
        <v>73</v>
      </c>
      <c r="T53" s="2" t="s">
        <v>74</v>
      </c>
      <c r="U53" s="2" t="s">
        <v>75</v>
      </c>
      <c r="V53" s="2" t="s">
        <v>76</v>
      </c>
      <c r="W53" s="2" t="s">
        <v>77</v>
      </c>
      <c r="X53" s="2" t="s">
        <v>72</v>
      </c>
      <c r="Y53" s="2" t="s">
        <v>73</v>
      </c>
      <c r="Z53" s="2" t="s">
        <v>74</v>
      </c>
      <c r="AA53" s="2" t="s">
        <v>75</v>
      </c>
      <c r="AB53" s="2" t="s">
        <v>76</v>
      </c>
      <c r="AC53" s="2" t="s">
        <v>77</v>
      </c>
      <c r="AD53" s="1" t="s">
        <v>13</v>
      </c>
      <c r="AE53" s="1" t="s">
        <v>14</v>
      </c>
      <c r="AF53" s="9" t="s">
        <v>78</v>
      </c>
      <c r="AG53" s="9" t="s">
        <v>78</v>
      </c>
      <c r="AH53" s="9" t="s">
        <v>78</v>
      </c>
      <c r="AI53" s="9" t="s">
        <v>78</v>
      </c>
      <c r="AJ53" s="9" t="s">
        <v>79</v>
      </c>
      <c r="AK53" s="1" t="s">
        <v>17</v>
      </c>
      <c r="AL53" s="1" t="s">
        <v>80</v>
      </c>
    </row>
    <row r="54" spans="1:38">
      <c r="A54" s="5">
        <v>45531</v>
      </c>
      <c r="B54" s="4" t="s">
        <v>22</v>
      </c>
      <c r="C54">
        <v>18.100000000000001</v>
      </c>
      <c r="D54" s="7">
        <f t="shared" ref="D54" si="30">C54 / $C$2</f>
        <v>0.78354978354978355</v>
      </c>
      <c r="E54">
        <v>0.6</v>
      </c>
      <c r="F54" s="10">
        <f>(R54+U54+X54+AA54)*AL54/1000</f>
        <v>0.108</v>
      </c>
      <c r="G54">
        <f t="shared" ref="G54" si="31">E54+F54</f>
        <v>0.70799999999999996</v>
      </c>
      <c r="H54">
        <v>1</v>
      </c>
      <c r="I54" t="s">
        <v>81</v>
      </c>
      <c r="J54" s="8">
        <v>0.73263888888888884</v>
      </c>
      <c r="K54" s="8"/>
      <c r="L54">
        <v>300</v>
      </c>
      <c r="M54" s="11">
        <f>(N54+O54)/2</f>
        <v>0.09</v>
      </c>
      <c r="N54" s="11">
        <f>(R54+X54)/(R54+S54+T54+X54+Y54+Z54)</f>
        <v>0</v>
      </c>
      <c r="O54" s="11">
        <f>(U54+AA54)/(U54+V54+W54+AA54+AB54+AC54)</f>
        <v>0.18</v>
      </c>
      <c r="P54" s="11">
        <f>O54-N54</f>
        <v>0.18</v>
      </c>
      <c r="Q54" s="11">
        <f>(R54+S54+U54+V54+X54+Y54+AA54+AB54)/(R54+S54+U54+V54+X54+Y54+AA54+AB54+W54+Z54+AC54+T54)</f>
        <v>0.22413793103448276</v>
      </c>
      <c r="R54">
        <v>0</v>
      </c>
      <c r="S54">
        <v>25</v>
      </c>
      <c r="T54">
        <v>115</v>
      </c>
      <c r="U54">
        <v>27</v>
      </c>
      <c r="V54">
        <v>13</v>
      </c>
      <c r="W54">
        <v>110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843</v>
      </c>
      <c r="AE54">
        <v>1040</v>
      </c>
      <c r="AK54" t="s">
        <v>82</v>
      </c>
      <c r="AL54">
        <v>4</v>
      </c>
    </row>
    <row r="55" spans="1:38">
      <c r="A55" s="5">
        <v>45532</v>
      </c>
      <c r="B55" s="4" t="s">
        <v>24</v>
      </c>
      <c r="C55">
        <v>18.2</v>
      </c>
      <c r="D55" s="7">
        <f t="shared" ref="D55:D66" si="32">C55 / $C$2</f>
        <v>0.78787878787878785</v>
      </c>
      <c r="E55">
        <v>0.6</v>
      </c>
      <c r="F55" s="10">
        <f t="shared" ref="F55:F57" si="33">(R55+U55+X55+AA55)*AL55/1000</f>
        <v>3.5999999999999997E-2</v>
      </c>
      <c r="G55">
        <f t="shared" si="29"/>
        <v>0.63600000000000001</v>
      </c>
      <c r="H55">
        <v>1</v>
      </c>
      <c r="I55" t="s">
        <v>81</v>
      </c>
      <c r="J55" s="8">
        <v>0.69236111111111109</v>
      </c>
      <c r="L55">
        <v>300</v>
      </c>
      <c r="M55" s="11">
        <f t="shared" ref="M55:M60" si="34">(N55+O55)/2</f>
        <v>3.0000000000000002E-2</v>
      </c>
      <c r="N55" s="11">
        <f t="shared" ref="N55:N60" si="35">(R55+X55)/(R55+S55+T55+X55+Y55+Z55)</f>
        <v>1.3333333333333334E-2</v>
      </c>
      <c r="O55" s="11">
        <f t="shared" ref="O55:O60" si="36">(U55+AA55)/(U55+V55+W55+AA55+AB55+AC55)</f>
        <v>4.6666666666666669E-2</v>
      </c>
      <c r="P55" s="11">
        <f t="shared" ref="P55:P60" si="37">O55-N55</f>
        <v>3.3333333333333333E-2</v>
      </c>
      <c r="Q55" s="11">
        <f t="shared" ref="Q55:Q60" si="38">(R55+S55+U55+V55+X55+Y55+AA55+AB55)/(R55+S55+U55+V55+X55+Y55+AA55+AB55+W55+Z55+AC55+T55)</f>
        <v>6.3333333333333339E-2</v>
      </c>
      <c r="R55">
        <v>2</v>
      </c>
      <c r="S55">
        <v>8</v>
      </c>
      <c r="T55">
        <v>140</v>
      </c>
      <c r="U55">
        <v>7</v>
      </c>
      <c r="V55">
        <v>2</v>
      </c>
      <c r="W55">
        <v>141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386</v>
      </c>
      <c r="AE55">
        <v>510</v>
      </c>
      <c r="AK55" t="s">
        <v>83</v>
      </c>
      <c r="AL55">
        <v>4</v>
      </c>
    </row>
    <row r="56" spans="1:38">
      <c r="A56" s="5">
        <v>45533</v>
      </c>
      <c r="B56" s="4" t="s">
        <v>26</v>
      </c>
      <c r="C56">
        <v>18.5</v>
      </c>
      <c r="D56" s="7">
        <f t="shared" si="32"/>
        <v>0.80086580086580084</v>
      </c>
      <c r="E56">
        <v>0.5</v>
      </c>
      <c r="F56" s="10">
        <f t="shared" si="33"/>
        <v>0.188</v>
      </c>
      <c r="G56">
        <f t="shared" ref="G56" si="39">E56+F56</f>
        <v>0.68799999999999994</v>
      </c>
      <c r="H56">
        <v>1</v>
      </c>
      <c r="I56" t="s">
        <v>81</v>
      </c>
      <c r="L56">
        <v>300</v>
      </c>
      <c r="M56" s="11">
        <f t="shared" si="34"/>
        <v>8.0297677215665636E-2</v>
      </c>
      <c r="N56" s="11">
        <f>(R57+X56)/(R57+S56+T56+X56+Y56+Z56)</f>
        <v>3.9840637450199202E-2</v>
      </c>
      <c r="O56" s="11">
        <f t="shared" si="36"/>
        <v>0.12075471698113208</v>
      </c>
      <c r="P56" s="11">
        <f t="shared" si="37"/>
        <v>8.0914079530932881E-2</v>
      </c>
      <c r="Q56" s="11">
        <f>(R57+S56+U56+V56+X56+Y56+AA56+AB56)/(R57+S56+U56+V56+X56+Y56+AA56+AB56+W56+Z56+AC56+T56)</f>
        <v>0.14922480620155038</v>
      </c>
      <c r="R56">
        <f>R57+R58</f>
        <v>15</v>
      </c>
      <c r="S56">
        <f t="shared" ref="S56:AE56" si="40">S57+S58</f>
        <v>29</v>
      </c>
      <c r="T56">
        <f t="shared" si="40"/>
        <v>212</v>
      </c>
      <c r="U56">
        <f t="shared" si="40"/>
        <v>32</v>
      </c>
      <c r="V56">
        <f t="shared" si="40"/>
        <v>6</v>
      </c>
      <c r="W56">
        <f t="shared" si="40"/>
        <v>227</v>
      </c>
      <c r="X56">
        <f t="shared" si="40"/>
        <v>0</v>
      </c>
      <c r="Y56">
        <f t="shared" si="40"/>
        <v>0</v>
      </c>
      <c r="Z56">
        <f t="shared" si="40"/>
        <v>0</v>
      </c>
      <c r="AA56">
        <f t="shared" si="40"/>
        <v>0</v>
      </c>
      <c r="AB56">
        <f t="shared" si="40"/>
        <v>0</v>
      </c>
      <c r="AC56">
        <f t="shared" si="40"/>
        <v>0</v>
      </c>
      <c r="AD56">
        <f t="shared" si="40"/>
        <v>885</v>
      </c>
      <c r="AE56">
        <f t="shared" si="40"/>
        <v>1335</v>
      </c>
      <c r="AK56" t="s">
        <v>82</v>
      </c>
      <c r="AL56">
        <v>4</v>
      </c>
    </row>
    <row r="57" spans="1:38">
      <c r="A57" s="5">
        <v>45534</v>
      </c>
      <c r="B57" s="4" t="s">
        <v>27</v>
      </c>
      <c r="C57">
        <v>18.399999999999999</v>
      </c>
      <c r="D57" s="7">
        <f t="shared" si="32"/>
        <v>0.79653679653679643</v>
      </c>
      <c r="E57">
        <v>0.5</v>
      </c>
      <c r="F57" s="10">
        <f t="shared" ref="F57:F61" si="41">(R57+U57+X57+AA57)*AL57/1000</f>
        <v>0.104</v>
      </c>
      <c r="G57">
        <f t="shared" ref="G57:G61" si="42">E57+F57</f>
        <v>0.60399999999999998</v>
      </c>
      <c r="H57">
        <v>1</v>
      </c>
      <c r="I57" t="s">
        <v>81</v>
      </c>
      <c r="L57">
        <v>266</v>
      </c>
      <c r="M57" s="11">
        <f t="shared" ref="M57:M58" si="43">(N57+O57)/2</f>
        <v>9.0697496947496958E-2</v>
      </c>
      <c r="N57" s="11">
        <f t="shared" ref="N57:N58" si="44">(R58+X57)/(R58+S57+T57+X57+Y57+Z57)</f>
        <v>4.4642857142857144E-2</v>
      </c>
      <c r="O57" s="11">
        <f t="shared" ref="O57:O58" si="45">(U57+AA57)/(U57+V57+W57+AA57+AB57+AC57)</f>
        <v>0.13675213675213677</v>
      </c>
      <c r="P57" s="11">
        <f t="shared" ref="P57:P58" si="46">O57-N57</f>
        <v>9.2109279609279615E-2</v>
      </c>
      <c r="Q57" s="11">
        <f t="shared" ref="Q57:Q58" si="47">(R58+S57+U57+V57+X57+Y57+AA57+AB57)/(R58+S57+U57+V57+X57+Y57+AA57+AB57+W57+Z57+AC57+T57)</f>
        <v>0.14410480349344978</v>
      </c>
      <c r="R57">
        <v>10</v>
      </c>
      <c r="S57">
        <v>9</v>
      </c>
      <c r="T57">
        <v>98</v>
      </c>
      <c r="U57">
        <v>16</v>
      </c>
      <c r="V57">
        <v>3</v>
      </c>
      <c r="W57">
        <v>98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357</v>
      </c>
      <c r="AE57">
        <v>557</v>
      </c>
      <c r="AK57" t="s">
        <v>84</v>
      </c>
      <c r="AL57">
        <v>4</v>
      </c>
    </row>
    <row r="58" spans="1:38">
      <c r="A58" s="5">
        <v>45535</v>
      </c>
      <c r="B58" s="4" t="s">
        <v>28</v>
      </c>
      <c r="C58">
        <v>18.5</v>
      </c>
      <c r="D58" s="7">
        <f t="shared" si="32"/>
        <v>0.80086580086580084</v>
      </c>
      <c r="E58">
        <v>0.5</v>
      </c>
      <c r="F58" s="10">
        <f t="shared" si="41"/>
        <v>8.4000000000000005E-2</v>
      </c>
      <c r="G58">
        <f t="shared" si="42"/>
        <v>0.58399999999999996</v>
      </c>
      <c r="H58">
        <v>1</v>
      </c>
      <c r="I58" t="s">
        <v>81</v>
      </c>
      <c r="L58">
        <v>297</v>
      </c>
      <c r="M58" s="11">
        <f t="shared" si="43"/>
        <v>5.4054054054054057E-2</v>
      </c>
      <c r="N58" s="11">
        <f t="shared" si="44"/>
        <v>0</v>
      </c>
      <c r="O58" s="11">
        <f t="shared" si="45"/>
        <v>0.10810810810810811</v>
      </c>
      <c r="P58" s="11">
        <f t="shared" si="46"/>
        <v>0.10810810810810811</v>
      </c>
      <c r="Q58" s="11">
        <f t="shared" si="47"/>
        <v>0.13829787234042554</v>
      </c>
      <c r="R58">
        <v>5</v>
      </c>
      <c r="S58">
        <v>20</v>
      </c>
      <c r="T58">
        <v>114</v>
      </c>
      <c r="U58">
        <v>16</v>
      </c>
      <c r="V58">
        <v>3</v>
      </c>
      <c r="W58">
        <v>129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528</v>
      </c>
      <c r="AE58">
        <v>778</v>
      </c>
      <c r="AK58" t="s">
        <v>85</v>
      </c>
      <c r="AL58">
        <v>4</v>
      </c>
    </row>
    <row r="59" spans="1:38">
      <c r="A59" s="5">
        <v>45536</v>
      </c>
      <c r="B59" s="4" t="s">
        <v>29</v>
      </c>
      <c r="C59">
        <v>18.5</v>
      </c>
      <c r="D59" s="7">
        <f t="shared" si="32"/>
        <v>0.80086580086580084</v>
      </c>
      <c r="E59">
        <v>0.5</v>
      </c>
      <c r="F59" s="10">
        <f t="shared" si="41"/>
        <v>0</v>
      </c>
      <c r="G59">
        <f t="shared" si="42"/>
        <v>0.5</v>
      </c>
      <c r="H59">
        <v>1</v>
      </c>
      <c r="I59" t="s">
        <v>33</v>
      </c>
      <c r="M59" s="11"/>
      <c r="N59" s="11"/>
      <c r="O59" s="11"/>
      <c r="P59" s="11"/>
      <c r="Q59" s="11"/>
      <c r="AL59">
        <v>4</v>
      </c>
    </row>
    <row r="60" spans="1:38">
      <c r="A60" s="5">
        <v>45537</v>
      </c>
      <c r="B60" s="4" t="s">
        <v>19</v>
      </c>
      <c r="C60">
        <v>18.399999999999999</v>
      </c>
      <c r="D60" s="7">
        <f t="shared" si="32"/>
        <v>0.79653679653679643</v>
      </c>
      <c r="E60">
        <v>0.5</v>
      </c>
      <c r="F60" s="10">
        <f t="shared" si="41"/>
        <v>0.14399999999999999</v>
      </c>
      <c r="G60">
        <f t="shared" si="42"/>
        <v>0.64400000000000002</v>
      </c>
      <c r="H60">
        <v>1</v>
      </c>
      <c r="I60" t="s">
        <v>81</v>
      </c>
      <c r="L60">
        <v>282</v>
      </c>
      <c r="M60" s="11">
        <f t="shared" si="34"/>
        <v>0.1276595744680851</v>
      </c>
      <c r="N60" s="11">
        <f t="shared" si="35"/>
        <v>2.8368794326241134E-2</v>
      </c>
      <c r="O60" s="11">
        <f t="shared" si="36"/>
        <v>0.22695035460992907</v>
      </c>
      <c r="P60" s="11">
        <f t="shared" si="37"/>
        <v>0.19858156028368795</v>
      </c>
      <c r="Q60" s="11">
        <f t="shared" si="38"/>
        <v>0.20921985815602837</v>
      </c>
      <c r="R60">
        <v>4</v>
      </c>
      <c r="S60">
        <v>23</v>
      </c>
      <c r="T60">
        <v>114</v>
      </c>
      <c r="U60">
        <v>32</v>
      </c>
      <c r="V60">
        <v>0</v>
      </c>
      <c r="W60">
        <v>109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330</v>
      </c>
      <c r="AE60">
        <v>759</v>
      </c>
      <c r="AK60" t="s">
        <v>86</v>
      </c>
      <c r="AL60">
        <v>4</v>
      </c>
    </row>
    <row r="61" spans="1:38">
      <c r="A61" s="5">
        <v>45538</v>
      </c>
      <c r="B61" s="4" t="s">
        <v>22</v>
      </c>
      <c r="C61">
        <v>18.3</v>
      </c>
      <c r="D61" s="7">
        <f t="shared" si="32"/>
        <v>0.79220779220779214</v>
      </c>
      <c r="E61">
        <v>0.5</v>
      </c>
      <c r="F61" s="10">
        <f t="shared" si="41"/>
        <v>0.13600000000000001</v>
      </c>
      <c r="G61">
        <f t="shared" si="42"/>
        <v>0.63600000000000001</v>
      </c>
      <c r="H61">
        <v>1</v>
      </c>
      <c r="I61" t="s">
        <v>81</v>
      </c>
      <c r="L61">
        <v>300</v>
      </c>
      <c r="M61" s="11">
        <f t="shared" ref="M61" si="48">(N61+O61)/2</f>
        <v>0.11333333333333334</v>
      </c>
      <c r="N61" s="11">
        <f t="shared" ref="N61" si="49">(R61+X61)/(R61+S61+T61+X61+Y61+Z61)</f>
        <v>2.6666666666666668E-2</v>
      </c>
      <c r="O61" s="11">
        <f t="shared" ref="O61" si="50">(U61+AA61)/(U61+V61+W61+AA61+AB61+AC61)</f>
        <v>0.2</v>
      </c>
      <c r="P61" s="11">
        <f t="shared" ref="P61" si="51">O61-N61</f>
        <v>0.17333333333333334</v>
      </c>
      <c r="Q61" s="11">
        <f t="shared" ref="Q61" si="52">(R61+S61+U61+V61+X61+Y61+AA61+AB61)/(R61+S61+U61+V61+X61+Y61+AA61+AB61+W61+Z61+AC61+T61)</f>
        <v>0.21</v>
      </c>
      <c r="R61">
        <v>4</v>
      </c>
      <c r="S61">
        <v>29</v>
      </c>
      <c r="T61">
        <v>117</v>
      </c>
      <c r="U61">
        <v>30</v>
      </c>
      <c r="V61">
        <v>0</v>
      </c>
      <c r="W61">
        <v>120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511</v>
      </c>
      <c r="AE61">
        <v>972</v>
      </c>
      <c r="AK61" t="s">
        <v>87</v>
      </c>
      <c r="AL61">
        <v>4</v>
      </c>
    </row>
    <row r="62" spans="1:38">
      <c r="A62" s="5">
        <v>45539</v>
      </c>
      <c r="B62" s="4" t="s">
        <v>24</v>
      </c>
      <c r="C62">
        <v>18.600000000000001</v>
      </c>
      <c r="D62" s="7">
        <f t="shared" si="32"/>
        <v>0.80519480519480524</v>
      </c>
      <c r="E62">
        <v>0.5</v>
      </c>
      <c r="F62" s="10">
        <f t="shared" ref="F62:F63" si="53">(R62+U62+X62+AA62)*AL62/1000</f>
        <v>0.08</v>
      </c>
      <c r="G62">
        <f t="shared" ref="G62:G63" si="54">E62+F62</f>
        <v>0.57999999999999996</v>
      </c>
      <c r="H62">
        <v>1</v>
      </c>
      <c r="I62" t="s">
        <v>81</v>
      </c>
      <c r="L62">
        <v>272</v>
      </c>
      <c r="M62" s="11">
        <f t="shared" ref="M62" si="55">(N62+O62)/2</f>
        <v>7.3749662070829947E-2</v>
      </c>
      <c r="N62" s="11">
        <f t="shared" ref="N62" si="56">(R62+X62)/(R62+S62+T62+X62+Y62+Z62)</f>
        <v>4.3795620437956206E-2</v>
      </c>
      <c r="O62" s="11">
        <f t="shared" ref="O62" si="57">(U62+AA62)/(U62+V62+W62+AA62+AB62+AC62)</f>
        <v>0.1037037037037037</v>
      </c>
      <c r="P62" s="11">
        <f t="shared" ref="P62" si="58">O62-N62</f>
        <v>5.9908083265747494E-2</v>
      </c>
      <c r="Q62" s="11">
        <f t="shared" ref="Q62" si="59">(R62+S62+U62+V62+X62+Y62+AA62+AB62)/(R62+S62+U62+V62+X62+Y62+AA62+AB62+W62+Z62+AC62+T62)</f>
        <v>0.13235294117647059</v>
      </c>
      <c r="R62">
        <v>6</v>
      </c>
      <c r="S62">
        <v>13</v>
      </c>
      <c r="T62">
        <v>118</v>
      </c>
      <c r="U62">
        <v>14</v>
      </c>
      <c r="V62">
        <v>3</v>
      </c>
      <c r="W62">
        <v>118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269</v>
      </c>
      <c r="AE62">
        <v>640</v>
      </c>
      <c r="AK62" t="s">
        <v>88</v>
      </c>
      <c r="AL62">
        <v>4</v>
      </c>
    </row>
    <row r="63" spans="1:38">
      <c r="A63" s="5">
        <v>45540</v>
      </c>
      <c r="B63" s="4" t="s">
        <v>26</v>
      </c>
      <c r="C63">
        <v>18.7</v>
      </c>
      <c r="D63" s="7">
        <f t="shared" si="32"/>
        <v>0.80952380952380942</v>
      </c>
      <c r="E63">
        <v>0.4</v>
      </c>
      <c r="F63" s="10">
        <f t="shared" si="53"/>
        <v>0.184</v>
      </c>
      <c r="G63">
        <f t="shared" si="54"/>
        <v>0.58400000000000007</v>
      </c>
      <c r="H63">
        <v>1</v>
      </c>
      <c r="I63" t="s">
        <v>81</v>
      </c>
      <c r="L63">
        <f>131+175</f>
        <v>306</v>
      </c>
      <c r="M63" s="11">
        <f t="shared" ref="M63" si="60">(N63+O63)/2</f>
        <v>0.14956425153793573</v>
      </c>
      <c r="N63" s="11">
        <f t="shared" ref="N63" si="61">(R63+X63)/(R63+S63+T63+X63+Y63+Z63)</f>
        <v>3.2894736842105261E-2</v>
      </c>
      <c r="O63" s="11">
        <f t="shared" ref="O63" si="62">(U63+AA63)/(U63+V63+W63+AA63+AB63+AC63)</f>
        <v>0.26623376623376621</v>
      </c>
      <c r="P63" s="11">
        <f t="shared" ref="P63" si="63">O63-N63</f>
        <v>0.23333902939166096</v>
      </c>
      <c r="Q63" s="11">
        <f t="shared" ref="Q63" si="64">(R63+S63+U63+V63+X63+Y63+AA63+AB63)/(R63+S63+U63+V63+X63+Y63+AA63+AB63+W63+Z63+AC63+T63)</f>
        <v>0.22875816993464052</v>
      </c>
      <c r="R63">
        <v>5</v>
      </c>
      <c r="S63">
        <v>22</v>
      </c>
      <c r="T63">
        <v>125</v>
      </c>
      <c r="U63">
        <v>41</v>
      </c>
      <c r="V63">
        <v>2</v>
      </c>
      <c r="W63">
        <v>111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424</v>
      </c>
      <c r="AE63">
        <v>999</v>
      </c>
      <c r="AK63" t="s">
        <v>89</v>
      </c>
      <c r="AL63">
        <v>4</v>
      </c>
    </row>
    <row r="64" spans="1:38">
      <c r="A64" s="5">
        <v>45541</v>
      </c>
      <c r="B64" s="4" t="s">
        <v>27</v>
      </c>
      <c r="C64">
        <v>18.600000000000001</v>
      </c>
      <c r="D64" s="7">
        <f t="shared" si="32"/>
        <v>0.80519480519480524</v>
      </c>
      <c r="E64">
        <v>0.5</v>
      </c>
      <c r="F64" s="10">
        <f t="shared" ref="F64" si="65">(R64+U64+X64+AA64)*AL64/1000</f>
        <v>0.16800000000000001</v>
      </c>
      <c r="G64">
        <f t="shared" ref="G64:G65" si="66">E64+F64</f>
        <v>0.66800000000000004</v>
      </c>
      <c r="H64">
        <v>1</v>
      </c>
      <c r="I64" t="s">
        <v>81</v>
      </c>
      <c r="L64">
        <v>335</v>
      </c>
      <c r="M64" s="11">
        <f t="shared" ref="M64" si="67">(N64+O64)/2</f>
        <v>0.15414535379369138</v>
      </c>
      <c r="N64" s="11">
        <f t="shared" ref="N64" si="68">(R64+X64)/(R64+S64+T64+X64+Y64+Z64)</f>
        <v>3.6231884057971016E-2</v>
      </c>
      <c r="O64" s="11">
        <f t="shared" ref="O64" si="69">(U64+AA64)/(U64+V64+W64+AA64+AB64+AC64)</f>
        <v>0.27205882352941174</v>
      </c>
      <c r="P64" s="11">
        <f t="shared" ref="P64" si="70">O64-N64</f>
        <v>0.23582693947144073</v>
      </c>
      <c r="Q64" s="11">
        <f t="shared" ref="Q64" si="71">(R64+S64+U64+V64+X64+Y64+AA64+AB64)/(R64+S64+U64+V64+X64+Y64+AA64+AB64+W64+Z64+AC64+T64)</f>
        <v>0.26642335766423358</v>
      </c>
      <c r="R64">
        <v>5</v>
      </c>
      <c r="S64">
        <v>28</v>
      </c>
      <c r="T64">
        <v>105</v>
      </c>
      <c r="U64">
        <v>37</v>
      </c>
      <c r="V64">
        <v>3</v>
      </c>
      <c r="W64">
        <v>96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381</v>
      </c>
      <c r="AE64">
        <v>1006</v>
      </c>
      <c r="AK64" t="s">
        <v>90</v>
      </c>
      <c r="AL64">
        <v>4</v>
      </c>
    </row>
    <row r="65" spans="1:9">
      <c r="A65" s="5">
        <v>45542</v>
      </c>
      <c r="B65" s="4" t="s">
        <v>28</v>
      </c>
      <c r="C65">
        <v>18.5</v>
      </c>
      <c r="D65" s="7">
        <f t="shared" si="32"/>
        <v>0.80086580086580084</v>
      </c>
      <c r="E65">
        <v>0.5</v>
      </c>
      <c r="G65">
        <f t="shared" si="66"/>
        <v>0.5</v>
      </c>
      <c r="I65" t="s">
        <v>33</v>
      </c>
    </row>
    <row r="66" spans="1:9">
      <c r="A66" s="5">
        <v>45543</v>
      </c>
      <c r="B66" s="4" t="s">
        <v>29</v>
      </c>
      <c r="C66">
        <v>18.399999999999999</v>
      </c>
      <c r="D66" s="7">
        <f t="shared" si="32"/>
        <v>0.79653679653679643</v>
      </c>
      <c r="E66">
        <v>0.6</v>
      </c>
      <c r="I66" t="s">
        <v>33</v>
      </c>
    </row>
    <row r="67" spans="1:9">
      <c r="A67" s="5">
        <v>45544</v>
      </c>
      <c r="B67" s="4" t="s">
        <v>19</v>
      </c>
    </row>
    <row r="68" spans="1:9">
      <c r="A68" s="5">
        <v>45545</v>
      </c>
      <c r="B68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E5AB-16C5-4393-ACD6-115E38F02B66}">
  <dimension ref="A1:AQ90"/>
  <sheetViews>
    <sheetView topLeftCell="A20" workbookViewId="0">
      <selection activeCell="I87" sqref="I31:I87"/>
    </sheetView>
  </sheetViews>
  <sheetFormatPr defaultRowHeight="15"/>
  <cols>
    <col min="1" max="1" width="11.140625" style="9" bestFit="1" customWidth="1"/>
    <col min="2" max="2" width="9.140625" style="9"/>
    <col min="9" max="9" width="34.42578125" customWidth="1"/>
    <col min="17" max="17" width="11.85546875" customWidth="1"/>
    <col min="33" max="33" width="49.42578125" customWidth="1"/>
  </cols>
  <sheetData>
    <row r="1" spans="1:18" ht="29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>
      <c r="A2" s="13">
        <v>45607</v>
      </c>
      <c r="B2" s="2" t="s">
        <v>19</v>
      </c>
      <c r="C2">
        <v>25.1</v>
      </c>
      <c r="D2" s="7">
        <f>C2/$C$2</f>
        <v>1</v>
      </c>
      <c r="G2">
        <f>E2+F2</f>
        <v>0</v>
      </c>
      <c r="I2" t="s">
        <v>25</v>
      </c>
    </row>
    <row r="3" spans="1:18">
      <c r="A3" s="13">
        <v>45608</v>
      </c>
      <c r="B3" s="2" t="s">
        <v>22</v>
      </c>
      <c r="D3" s="7">
        <f t="shared" ref="D3:D42" si="0">C3/$C$2</f>
        <v>0</v>
      </c>
    </row>
    <row r="4" spans="1:18">
      <c r="A4" s="13">
        <v>45609</v>
      </c>
      <c r="B4" s="2" t="s">
        <v>24</v>
      </c>
      <c r="C4">
        <v>25.2</v>
      </c>
      <c r="D4" s="7">
        <f t="shared" si="0"/>
        <v>1.0039840637450199</v>
      </c>
    </row>
    <row r="5" spans="1:18">
      <c r="A5" s="13">
        <v>45610</v>
      </c>
      <c r="B5" s="2" t="s">
        <v>26</v>
      </c>
      <c r="C5">
        <v>22.8</v>
      </c>
      <c r="D5" s="7">
        <f t="shared" si="0"/>
        <v>0.9083665338645418</v>
      </c>
      <c r="E5" t="s">
        <v>91</v>
      </c>
      <c r="I5" t="s">
        <v>92</v>
      </c>
    </row>
    <row r="6" spans="1:18">
      <c r="A6" s="13">
        <v>45611</v>
      </c>
      <c r="B6" s="2" t="s">
        <v>27</v>
      </c>
      <c r="C6">
        <v>21.9</v>
      </c>
      <c r="D6" s="7">
        <f t="shared" si="0"/>
        <v>0.87250996015936244</v>
      </c>
      <c r="E6">
        <v>0.7</v>
      </c>
      <c r="I6" t="s">
        <v>92</v>
      </c>
    </row>
    <row r="7" spans="1:18">
      <c r="A7" s="13">
        <v>45612</v>
      </c>
      <c r="B7" s="2" t="s">
        <v>28</v>
      </c>
      <c r="D7" s="7">
        <f t="shared" si="0"/>
        <v>0</v>
      </c>
      <c r="E7" t="s">
        <v>91</v>
      </c>
    </row>
    <row r="8" spans="1:18">
      <c r="A8" s="13">
        <v>45613</v>
      </c>
      <c r="B8" s="2" t="s">
        <v>29</v>
      </c>
      <c r="C8">
        <v>21.2</v>
      </c>
      <c r="D8" s="7">
        <f t="shared" si="0"/>
        <v>0.84462151394422302</v>
      </c>
      <c r="E8">
        <v>1.3</v>
      </c>
    </row>
    <row r="9" spans="1:18">
      <c r="A9" s="13">
        <v>45614</v>
      </c>
      <c r="B9" s="2" t="s">
        <v>19</v>
      </c>
      <c r="C9">
        <v>21.3</v>
      </c>
      <c r="D9" s="7">
        <f t="shared" si="0"/>
        <v>0.84860557768924305</v>
      </c>
      <c r="E9">
        <v>1.3</v>
      </c>
      <c r="I9" t="s">
        <v>25</v>
      </c>
      <c r="R9" t="s">
        <v>93</v>
      </c>
    </row>
    <row r="10" spans="1:18">
      <c r="A10" s="13">
        <v>45615</v>
      </c>
      <c r="B10" s="2" t="s">
        <v>22</v>
      </c>
      <c r="C10">
        <v>21.2</v>
      </c>
      <c r="D10" s="7">
        <f t="shared" si="0"/>
        <v>0.84462151394422302</v>
      </c>
      <c r="E10">
        <v>0.9</v>
      </c>
      <c r="I10" t="s">
        <v>94</v>
      </c>
    </row>
    <row r="11" spans="1:18">
      <c r="A11" s="13">
        <v>45616</v>
      </c>
      <c r="B11" s="2" t="s">
        <v>24</v>
      </c>
      <c r="C11">
        <v>20.8</v>
      </c>
      <c r="D11" s="7">
        <f t="shared" si="0"/>
        <v>0.82868525896414336</v>
      </c>
      <c r="E11">
        <v>1</v>
      </c>
      <c r="I11" t="s">
        <v>94</v>
      </c>
    </row>
    <row r="12" spans="1:18">
      <c r="A12" s="13">
        <v>45617</v>
      </c>
      <c r="B12" s="2" t="s">
        <v>26</v>
      </c>
      <c r="C12">
        <v>20.6</v>
      </c>
      <c r="D12" s="7">
        <f t="shared" si="0"/>
        <v>0.82071713147410363</v>
      </c>
      <c r="E12">
        <v>1</v>
      </c>
      <c r="I12" t="s">
        <v>94</v>
      </c>
    </row>
    <row r="13" spans="1:18">
      <c r="A13" s="13">
        <v>45618</v>
      </c>
      <c r="B13" s="2" t="s">
        <v>27</v>
      </c>
      <c r="C13">
        <v>20.6</v>
      </c>
      <c r="D13" s="7">
        <f t="shared" si="0"/>
        <v>0.82071713147410363</v>
      </c>
      <c r="E13">
        <v>1</v>
      </c>
      <c r="I13" t="s">
        <v>94</v>
      </c>
    </row>
    <row r="14" spans="1:18">
      <c r="A14" s="13">
        <v>45619</v>
      </c>
      <c r="B14" s="2" t="s">
        <v>28</v>
      </c>
      <c r="C14">
        <v>20.7</v>
      </c>
      <c r="D14" s="7">
        <f t="shared" si="0"/>
        <v>0.82470119521912344</v>
      </c>
      <c r="E14">
        <v>1</v>
      </c>
      <c r="I14" t="s">
        <v>94</v>
      </c>
    </row>
    <row r="15" spans="1:18">
      <c r="A15" s="13">
        <v>45620</v>
      </c>
      <c r="B15" s="2" t="s">
        <v>29</v>
      </c>
      <c r="C15">
        <v>20.2</v>
      </c>
      <c r="D15" s="7">
        <f t="shared" si="0"/>
        <v>0.80478087649402386</v>
      </c>
      <c r="E15" t="s">
        <v>95</v>
      </c>
      <c r="I15" t="s">
        <v>96</v>
      </c>
    </row>
    <row r="16" spans="1:18">
      <c r="A16" s="13">
        <v>45621</v>
      </c>
      <c r="B16" s="2" t="s">
        <v>19</v>
      </c>
      <c r="C16">
        <v>20.5</v>
      </c>
      <c r="D16" s="7">
        <f t="shared" si="0"/>
        <v>0.81673306772908361</v>
      </c>
      <c r="E16">
        <v>0.7</v>
      </c>
      <c r="I16" t="s">
        <v>97</v>
      </c>
    </row>
    <row r="17" spans="1:36">
      <c r="A17" s="13">
        <v>45622</v>
      </c>
      <c r="B17" s="2" t="s">
        <v>22</v>
      </c>
      <c r="C17">
        <v>20.3</v>
      </c>
      <c r="D17" s="7">
        <f t="shared" si="0"/>
        <v>0.80876494023904377</v>
      </c>
      <c r="E17">
        <v>0.7</v>
      </c>
      <c r="I17" t="s">
        <v>98</v>
      </c>
    </row>
    <row r="18" spans="1:36">
      <c r="A18" s="13">
        <v>45623</v>
      </c>
      <c r="B18" s="2" t="s">
        <v>24</v>
      </c>
      <c r="C18">
        <v>20.2</v>
      </c>
      <c r="D18" s="7">
        <f t="shared" si="0"/>
        <v>0.80478087649402386</v>
      </c>
      <c r="I18" t="s">
        <v>99</v>
      </c>
      <c r="J18" s="8">
        <v>0.21875</v>
      </c>
      <c r="K18" s="8">
        <v>0.2361111111111111</v>
      </c>
      <c r="L18">
        <v>170</v>
      </c>
      <c r="M18">
        <v>1569</v>
      </c>
      <c r="N18" t="s">
        <v>100</v>
      </c>
    </row>
    <row r="19" spans="1:36">
      <c r="A19" s="13">
        <v>45624</v>
      </c>
      <c r="B19" s="2" t="s">
        <v>26</v>
      </c>
      <c r="C19">
        <v>20.3</v>
      </c>
      <c r="D19" s="7">
        <f t="shared" si="0"/>
        <v>0.80876494023904377</v>
      </c>
      <c r="I19" t="s">
        <v>99</v>
      </c>
      <c r="J19" s="8">
        <v>0.2013888888888889</v>
      </c>
      <c r="K19" s="8">
        <v>0.20833333333333334</v>
      </c>
      <c r="L19">
        <v>223</v>
      </c>
      <c r="M19">
        <v>2811</v>
      </c>
      <c r="N19" t="s">
        <v>100</v>
      </c>
    </row>
    <row r="20" spans="1:36">
      <c r="A20" s="13">
        <v>45625</v>
      </c>
      <c r="B20" s="2" t="s">
        <v>27</v>
      </c>
      <c r="I20" t="s">
        <v>96</v>
      </c>
    </row>
    <row r="21" spans="1:36">
      <c r="A21" s="13">
        <v>45626</v>
      </c>
      <c r="B21" s="2" t="s">
        <v>28</v>
      </c>
      <c r="C21">
        <v>20.2</v>
      </c>
      <c r="D21" s="7">
        <f t="shared" si="0"/>
        <v>0.80478087649402386</v>
      </c>
      <c r="I21" t="s">
        <v>101</v>
      </c>
      <c r="J21" s="8">
        <v>0.36458333333333331</v>
      </c>
      <c r="K21" s="8">
        <v>0.3888888888888889</v>
      </c>
      <c r="L21">
        <v>175</v>
      </c>
      <c r="M21">
        <v>2877</v>
      </c>
      <c r="N21" t="s">
        <v>100</v>
      </c>
    </row>
    <row r="22" spans="1:36">
      <c r="A22" s="13">
        <v>45627</v>
      </c>
      <c r="B22" s="2" t="s">
        <v>29</v>
      </c>
      <c r="C22">
        <v>20.2</v>
      </c>
      <c r="D22" s="7">
        <f t="shared" si="0"/>
        <v>0.80478087649402386</v>
      </c>
      <c r="I22" t="s">
        <v>101</v>
      </c>
      <c r="J22" s="8">
        <v>0.18055555555555555</v>
      </c>
      <c r="K22" s="8">
        <v>0.19444444444444445</v>
      </c>
      <c r="L22">
        <v>180</v>
      </c>
      <c r="M22">
        <v>3381</v>
      </c>
      <c r="N22" t="s">
        <v>100</v>
      </c>
      <c r="R22" t="s">
        <v>102</v>
      </c>
    </row>
    <row r="23" spans="1:36">
      <c r="A23" s="13">
        <v>45628</v>
      </c>
      <c r="B23" s="2" t="s">
        <v>19</v>
      </c>
      <c r="C23">
        <v>20.100000000000001</v>
      </c>
      <c r="D23" s="7">
        <f t="shared" si="0"/>
        <v>0.80079681274900405</v>
      </c>
      <c r="I23" t="s">
        <v>101</v>
      </c>
      <c r="J23" s="8">
        <v>0.21527777777777779</v>
      </c>
      <c r="K23" s="8">
        <v>0.2361111111111111</v>
      </c>
      <c r="L23">
        <v>371</v>
      </c>
      <c r="M23">
        <v>7011</v>
      </c>
      <c r="N23" t="s">
        <v>103</v>
      </c>
    </row>
    <row r="24" spans="1:36">
      <c r="A24" s="13">
        <v>45629</v>
      </c>
      <c r="B24" s="2" t="s">
        <v>22</v>
      </c>
      <c r="C24">
        <v>20.2</v>
      </c>
      <c r="D24" s="7">
        <f t="shared" si="0"/>
        <v>0.80478087649402386</v>
      </c>
      <c r="I24" t="s">
        <v>101</v>
      </c>
      <c r="J24" s="8">
        <v>0.12152777777777778</v>
      </c>
      <c r="K24" s="8">
        <v>0.15277777777777779</v>
      </c>
      <c r="L24">
        <v>405</v>
      </c>
      <c r="M24">
        <v>7271</v>
      </c>
      <c r="N24" t="s">
        <v>103</v>
      </c>
    </row>
    <row r="25" spans="1:36">
      <c r="A25" s="13">
        <v>45630</v>
      </c>
      <c r="B25" s="2" t="s">
        <v>24</v>
      </c>
      <c r="C25">
        <v>20.6</v>
      </c>
      <c r="D25" s="7">
        <f t="shared" si="0"/>
        <v>0.82071713147410363</v>
      </c>
      <c r="E25">
        <v>1.5</v>
      </c>
      <c r="I25" t="s">
        <v>96</v>
      </c>
    </row>
    <row r="26" spans="1:36">
      <c r="A26" s="13">
        <v>45631</v>
      </c>
      <c r="B26" s="2" t="s">
        <v>26</v>
      </c>
      <c r="C26">
        <v>21.3</v>
      </c>
      <c r="D26" s="7">
        <f t="shared" si="0"/>
        <v>0.84860557768924305</v>
      </c>
      <c r="I26" t="s">
        <v>104</v>
      </c>
      <c r="J26" s="8">
        <v>0.2013888888888889</v>
      </c>
      <c r="N26" t="s">
        <v>103</v>
      </c>
      <c r="R26" t="s">
        <v>105</v>
      </c>
    </row>
    <row r="27" spans="1:36">
      <c r="A27" s="13">
        <v>45632</v>
      </c>
      <c r="B27" s="2" t="s">
        <v>27</v>
      </c>
      <c r="C27">
        <v>21.1</v>
      </c>
      <c r="D27" s="7">
        <f t="shared" si="0"/>
        <v>0.84063745019920322</v>
      </c>
      <c r="I27" t="s">
        <v>104</v>
      </c>
      <c r="J27" s="8">
        <v>8.3333333333333329E-2</v>
      </c>
      <c r="L27">
        <v>291</v>
      </c>
      <c r="M27">
        <v>6272</v>
      </c>
      <c r="N27">
        <v>235</v>
      </c>
      <c r="O27">
        <v>296</v>
      </c>
      <c r="P27">
        <v>145</v>
      </c>
      <c r="Q27">
        <v>146</v>
      </c>
      <c r="R27" t="s">
        <v>106</v>
      </c>
      <c r="S27" t="s">
        <v>103</v>
      </c>
    </row>
    <row r="28" spans="1:36">
      <c r="A28" s="13">
        <v>45633</v>
      </c>
      <c r="B28" s="2" t="s">
        <v>28</v>
      </c>
      <c r="C28">
        <v>20.6</v>
      </c>
      <c r="D28" s="7">
        <f t="shared" si="0"/>
        <v>0.82071713147410363</v>
      </c>
      <c r="I28" t="s">
        <v>104</v>
      </c>
      <c r="L28">
        <v>207</v>
      </c>
      <c r="M28">
        <v>3380</v>
      </c>
      <c r="N28">
        <v>190</v>
      </c>
      <c r="O28">
        <v>265</v>
      </c>
      <c r="P28">
        <v>103</v>
      </c>
      <c r="Q28">
        <v>104</v>
      </c>
      <c r="R28" t="s">
        <v>107</v>
      </c>
    </row>
    <row r="29" spans="1:36">
      <c r="A29" s="13">
        <v>45634</v>
      </c>
      <c r="B29" s="2" t="s">
        <v>29</v>
      </c>
      <c r="C29">
        <v>20.6</v>
      </c>
      <c r="D29" s="7">
        <f t="shared" si="0"/>
        <v>0.82071713147410363</v>
      </c>
      <c r="I29" t="s">
        <v>104</v>
      </c>
      <c r="J29" s="8">
        <v>0.1701388888888889</v>
      </c>
      <c r="K29" s="8">
        <v>0.19444444444444445</v>
      </c>
      <c r="L29">
        <v>203</v>
      </c>
      <c r="M29">
        <v>4007</v>
      </c>
      <c r="N29">
        <v>123</v>
      </c>
      <c r="O29">
        <v>193</v>
      </c>
      <c r="P29">
        <v>101</v>
      </c>
      <c r="Q29">
        <v>102</v>
      </c>
      <c r="R29" t="s">
        <v>108</v>
      </c>
    </row>
    <row r="30" spans="1:36">
      <c r="A30" s="13">
        <v>45635</v>
      </c>
      <c r="B30" s="2" t="s">
        <v>19</v>
      </c>
      <c r="C30">
        <v>20.100000000000001</v>
      </c>
      <c r="D30" s="7">
        <f t="shared" si="0"/>
        <v>0.80079681274900405</v>
      </c>
      <c r="E30">
        <v>0.5</v>
      </c>
      <c r="I30" t="s">
        <v>104</v>
      </c>
      <c r="J30" s="8">
        <v>0.1423611111111111</v>
      </c>
      <c r="K30" s="8">
        <v>0.16319444444444445</v>
      </c>
      <c r="L30">
        <v>200</v>
      </c>
      <c r="M30">
        <v>4408</v>
      </c>
      <c r="N30">
        <v>117</v>
      </c>
      <c r="O30">
        <v>217</v>
      </c>
      <c r="P30">
        <v>100</v>
      </c>
      <c r="Q30">
        <v>100</v>
      </c>
      <c r="R30" t="s">
        <v>109</v>
      </c>
    </row>
    <row r="31" spans="1:36" ht="29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2" t="s">
        <v>67</v>
      </c>
      <c r="N31" s="1" t="s">
        <v>68</v>
      </c>
      <c r="O31" s="1" t="s">
        <v>69</v>
      </c>
      <c r="P31" s="1" t="s">
        <v>70</v>
      </c>
      <c r="Q31" s="1" t="s">
        <v>71</v>
      </c>
      <c r="R31" s="2" t="s">
        <v>72</v>
      </c>
      <c r="S31" s="2" t="s">
        <v>73</v>
      </c>
      <c r="T31" s="2" t="s">
        <v>74</v>
      </c>
      <c r="U31" s="2" t="s">
        <v>75</v>
      </c>
      <c r="V31" s="2" t="s">
        <v>76</v>
      </c>
      <c r="W31" s="2" t="s">
        <v>77</v>
      </c>
      <c r="X31" s="2" t="s">
        <v>72</v>
      </c>
      <c r="Y31" s="2" t="s">
        <v>73</v>
      </c>
      <c r="Z31" s="2" t="s">
        <v>74</v>
      </c>
      <c r="AA31" s="2" t="s">
        <v>75</v>
      </c>
      <c r="AB31" s="2" t="s">
        <v>76</v>
      </c>
      <c r="AC31" s="2" t="s">
        <v>77</v>
      </c>
      <c r="AD31" s="1" t="s">
        <v>13</v>
      </c>
      <c r="AE31" s="1" t="s">
        <v>14</v>
      </c>
      <c r="AF31" s="1" t="s">
        <v>80</v>
      </c>
      <c r="AG31" t="s">
        <v>17</v>
      </c>
      <c r="AH31" s="9"/>
      <c r="AI31" s="9"/>
      <c r="AJ31" s="9"/>
    </row>
    <row r="32" spans="1:36">
      <c r="A32" s="13">
        <v>45636</v>
      </c>
      <c r="B32" s="2" t="s">
        <v>22</v>
      </c>
      <c r="C32">
        <v>20.5</v>
      </c>
      <c r="D32" s="7">
        <f t="shared" si="0"/>
        <v>0.81673306772908361</v>
      </c>
      <c r="I32" t="s">
        <v>110</v>
      </c>
      <c r="J32" s="8">
        <v>0.21527777777777779</v>
      </c>
      <c r="L32">
        <v>300</v>
      </c>
      <c r="M32" s="11">
        <f>(N32+O32)/2</f>
        <v>0.56180733162830343</v>
      </c>
      <c r="N32" s="11">
        <f>(R32+X32)/(R32+S32+X32+Y32)</f>
        <v>0.52941176470588236</v>
      </c>
      <c r="O32" s="11">
        <f>(U32+AA32)/(U32+V32+AA32+AB32)</f>
        <v>0.59420289855072461</v>
      </c>
      <c r="P32" s="11">
        <f t="shared" ref="P32" si="1">O32-N32</f>
        <v>6.4791133844842252E-2</v>
      </c>
      <c r="Q32" s="11">
        <f t="shared" ref="Q32" si="2">(R32+S32+U32+V32+X32+Y32+AA32+AB32)/(R32+S32+U32+V32+X32+Y32+AA32+AB32+W32+Z32+AC32+T32)</f>
        <v>0.63720930232558137</v>
      </c>
      <c r="R32">
        <v>36</v>
      </c>
      <c r="S32">
        <v>32</v>
      </c>
      <c r="T32">
        <v>39</v>
      </c>
      <c r="U32">
        <v>41</v>
      </c>
      <c r="V32">
        <v>28</v>
      </c>
      <c r="W32">
        <v>39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700</v>
      </c>
      <c r="AE32">
        <v>714</v>
      </c>
      <c r="AF32" t="s">
        <v>111</v>
      </c>
    </row>
    <row r="33" spans="1:43">
      <c r="A33" s="13">
        <v>45637</v>
      </c>
      <c r="B33" s="2" t="s">
        <v>24</v>
      </c>
      <c r="C33">
        <v>22</v>
      </c>
      <c r="D33" s="7">
        <f t="shared" si="0"/>
        <v>0.87649402390438247</v>
      </c>
      <c r="I33" t="s">
        <v>110</v>
      </c>
      <c r="J33" s="8">
        <v>9.0277777777777776E-2</v>
      </c>
      <c r="K33" s="8">
        <v>0.12152777777777778</v>
      </c>
      <c r="L33">
        <v>300</v>
      </c>
      <c r="M33" s="11">
        <f>(N33+O33)/2</f>
        <v>0.55312499999999998</v>
      </c>
      <c r="N33" s="11">
        <f t="shared" ref="N33:N39" si="3">(R33+X33)/(R33+S33+X33+Y33)</f>
        <v>0.59375</v>
      </c>
      <c r="O33" s="11">
        <f t="shared" ref="O33:O39" si="4">(U33+AA33)/(U33+V33+AA33+AB33)</f>
        <v>0.51249999999999996</v>
      </c>
      <c r="P33" s="11">
        <f t="shared" ref="P33" si="5">O33-N33</f>
        <v>-8.1250000000000044E-2</v>
      </c>
      <c r="Q33" s="11">
        <f t="shared" ref="Q33" si="6">(R33+S33+U33+V33+X33+Y33+AA33+AB33)/(R33+S33+U33+V33+X33+Y33+AA33+AB33+W33+Z33+AC33+T33)</f>
        <v>0.58666666666666667</v>
      </c>
      <c r="R33">
        <v>51</v>
      </c>
      <c r="S33">
        <v>37</v>
      </c>
      <c r="T33">
        <v>48</v>
      </c>
      <c r="U33">
        <v>34</v>
      </c>
      <c r="V33">
        <v>33</v>
      </c>
      <c r="W33">
        <v>69</v>
      </c>
      <c r="X33">
        <v>6</v>
      </c>
      <c r="Y33">
        <v>2</v>
      </c>
      <c r="Z33">
        <v>5</v>
      </c>
      <c r="AA33">
        <v>7</v>
      </c>
      <c r="AB33">
        <v>6</v>
      </c>
      <c r="AC33">
        <v>2</v>
      </c>
      <c r="AD33">
        <v>831</v>
      </c>
      <c r="AE33">
        <v>932</v>
      </c>
      <c r="AF33" t="s">
        <v>111</v>
      </c>
    </row>
    <row r="34" spans="1:43">
      <c r="A34" s="13">
        <v>45638</v>
      </c>
      <c r="B34" s="2" t="s">
        <v>26</v>
      </c>
      <c r="C34">
        <v>21.5</v>
      </c>
      <c r="D34" s="7">
        <f t="shared" si="0"/>
        <v>0.85657370517928277</v>
      </c>
      <c r="F34">
        <v>0.4</v>
      </c>
      <c r="I34" t="s">
        <v>110</v>
      </c>
      <c r="J34" s="8">
        <v>0.13194444444444445</v>
      </c>
      <c r="K34" s="8">
        <v>0.16319444444444445</v>
      </c>
      <c r="L34">
        <v>300</v>
      </c>
      <c r="M34" s="11">
        <f>(N34+O34)/2</f>
        <v>0.47895480225988701</v>
      </c>
      <c r="N34" s="11">
        <f t="shared" si="3"/>
        <v>0.48333333333333334</v>
      </c>
      <c r="O34" s="11">
        <f t="shared" si="4"/>
        <v>0.47457627118644069</v>
      </c>
      <c r="P34" s="11">
        <f t="shared" ref="P34" si="7">O34-N34</f>
        <v>-8.7570621468926468E-3</v>
      </c>
      <c r="Q34" s="11">
        <f t="shared" ref="Q34" si="8">(R34+S34+U34+V34+X34+Y34+AA34+AB34)/(R34+S34+U34+V34+X34+Y34+AA34+AB34+W34+Z34+AC34+T34)</f>
        <v>0.79333333333333333</v>
      </c>
      <c r="R34">
        <v>57</v>
      </c>
      <c r="S34">
        <v>61</v>
      </c>
      <c r="T34">
        <v>27</v>
      </c>
      <c r="U34">
        <v>54</v>
      </c>
      <c r="V34">
        <v>60</v>
      </c>
      <c r="W34">
        <v>33</v>
      </c>
      <c r="X34">
        <v>1</v>
      </c>
      <c r="Y34">
        <v>1</v>
      </c>
      <c r="Z34">
        <v>0</v>
      </c>
      <c r="AA34">
        <v>2</v>
      </c>
      <c r="AB34">
        <v>2</v>
      </c>
      <c r="AC34">
        <v>2</v>
      </c>
      <c r="AD34">
        <v>2049</v>
      </c>
      <c r="AE34">
        <v>1185</v>
      </c>
      <c r="AF34" t="s">
        <v>112</v>
      </c>
    </row>
    <row r="35" spans="1:43">
      <c r="A35" s="13">
        <v>45639</v>
      </c>
      <c r="B35" s="2" t="s">
        <v>27</v>
      </c>
      <c r="C35">
        <v>20.9</v>
      </c>
      <c r="D35" s="7">
        <f t="shared" si="0"/>
        <v>0.83266932270916327</v>
      </c>
      <c r="E35">
        <v>0.6</v>
      </c>
      <c r="F35" s="10">
        <f>(R35+U35+X35+AA35)*AF35/1000</f>
        <v>0.28399999999999997</v>
      </c>
      <c r="G35" s="10">
        <f>E35+F35</f>
        <v>0.8839999999999999</v>
      </c>
      <c r="I35" t="s">
        <v>110</v>
      </c>
      <c r="J35" s="8">
        <v>0.1388888888888889</v>
      </c>
      <c r="K35" s="8">
        <v>0.17430555555555555</v>
      </c>
      <c r="L35">
        <v>300</v>
      </c>
      <c r="M35" s="11">
        <f>(N35+O35)/2</f>
        <v>0.55602240896358546</v>
      </c>
      <c r="N35" s="11">
        <f t="shared" si="3"/>
        <v>0.90196078431372551</v>
      </c>
      <c r="O35" s="11">
        <f t="shared" si="4"/>
        <v>0.21008403361344538</v>
      </c>
      <c r="P35" s="11">
        <f t="shared" ref="P35" si="9">O35-N35</f>
        <v>-0.6918767507002801</v>
      </c>
      <c r="Q35" s="11">
        <f t="shared" ref="Q35" si="10">(R35+S35+U35+V35+X35+Y35+AA35+AB35)/(R35+S35+U35+V35+X35+Y35+AA35+AB35+W35+Z35+AC35+T35)</f>
        <v>0.56666666666666665</v>
      </c>
      <c r="R35">
        <v>46</v>
      </c>
      <c r="S35">
        <v>5</v>
      </c>
      <c r="T35">
        <v>29</v>
      </c>
      <c r="U35">
        <v>18</v>
      </c>
      <c r="V35">
        <v>50</v>
      </c>
      <c r="W35">
        <v>41</v>
      </c>
      <c r="X35">
        <v>0</v>
      </c>
      <c r="Y35">
        <v>0</v>
      </c>
      <c r="Z35">
        <v>0</v>
      </c>
      <c r="AA35">
        <v>7</v>
      </c>
      <c r="AB35">
        <v>44</v>
      </c>
      <c r="AC35">
        <v>60</v>
      </c>
      <c r="AD35">
        <v>1654</v>
      </c>
      <c r="AE35">
        <v>381</v>
      </c>
      <c r="AF35">
        <v>4</v>
      </c>
    </row>
    <row r="36" spans="1:43">
      <c r="A36" s="13">
        <v>45640</v>
      </c>
      <c r="B36" s="2" t="s">
        <v>28</v>
      </c>
      <c r="C36">
        <v>20.8</v>
      </c>
      <c r="D36" s="7">
        <f t="shared" si="0"/>
        <v>0.82868525896414336</v>
      </c>
      <c r="E36">
        <v>0.8</v>
      </c>
      <c r="I36" t="s">
        <v>113</v>
      </c>
      <c r="N36" s="11"/>
      <c r="O36" s="11"/>
    </row>
    <row r="37" spans="1:43">
      <c r="A37" s="13">
        <v>45641</v>
      </c>
      <c r="B37" s="2" t="s">
        <v>29</v>
      </c>
      <c r="C37">
        <v>20.6</v>
      </c>
      <c r="D37" s="7">
        <f t="shared" si="0"/>
        <v>0.82071713147410363</v>
      </c>
      <c r="E37">
        <v>0.8</v>
      </c>
      <c r="I37" t="s">
        <v>113</v>
      </c>
      <c r="N37" s="11"/>
      <c r="O37" s="11"/>
    </row>
    <row r="38" spans="1:43">
      <c r="A38" s="13">
        <v>45642</v>
      </c>
      <c r="B38" s="2" t="s">
        <v>19</v>
      </c>
      <c r="C38">
        <v>20.7</v>
      </c>
      <c r="D38" s="7">
        <f t="shared" si="0"/>
        <v>0.82470119521912344</v>
      </c>
      <c r="E38">
        <v>0</v>
      </c>
      <c r="I38" t="s">
        <v>110</v>
      </c>
      <c r="J38" s="8">
        <v>0.1388888888888889</v>
      </c>
      <c r="K38" s="8">
        <v>0.1736111111111111</v>
      </c>
      <c r="L38">
        <v>300</v>
      </c>
      <c r="M38" s="11">
        <f>(N38+O38)/2</f>
        <v>0.57091346153846156</v>
      </c>
      <c r="N38" s="11">
        <f t="shared" si="3"/>
        <v>0.96875</v>
      </c>
      <c r="O38" s="11">
        <f t="shared" si="4"/>
        <v>0.17307692307692307</v>
      </c>
      <c r="P38" s="11">
        <f t="shared" ref="P38" si="11">O38-N38</f>
        <v>-0.79567307692307687</v>
      </c>
      <c r="Q38" s="11">
        <f t="shared" ref="Q38" si="12">(R38+S38+U38+V38+X38+Y38+AA38+AB38)/(R38+S38+U38+V38+X38+Y38+AA38+AB38+W38+Z38+AC38+T38)</f>
        <v>0.38666666666666666</v>
      </c>
      <c r="R38">
        <v>62</v>
      </c>
      <c r="S38">
        <v>2</v>
      </c>
      <c r="T38">
        <v>47</v>
      </c>
      <c r="U38">
        <v>8</v>
      </c>
      <c r="V38">
        <v>37</v>
      </c>
      <c r="W38">
        <v>85</v>
      </c>
      <c r="X38">
        <v>0</v>
      </c>
      <c r="Y38">
        <v>0</v>
      </c>
      <c r="Z38">
        <v>0</v>
      </c>
      <c r="AA38">
        <v>1</v>
      </c>
      <c r="AB38">
        <v>6</v>
      </c>
      <c r="AC38">
        <v>52</v>
      </c>
      <c r="AD38">
        <v>666</v>
      </c>
      <c r="AE38">
        <v>138</v>
      </c>
    </row>
    <row r="39" spans="1:43">
      <c r="A39" s="13">
        <v>45643</v>
      </c>
      <c r="B39" s="2" t="s">
        <v>22</v>
      </c>
      <c r="C39">
        <v>20.2</v>
      </c>
      <c r="D39" s="7">
        <f t="shared" si="0"/>
        <v>0.80478087649402386</v>
      </c>
      <c r="E39">
        <v>0.4</v>
      </c>
      <c r="I39" t="s">
        <v>110</v>
      </c>
      <c r="J39" s="8">
        <v>0.14930555555555555</v>
      </c>
      <c r="K39" s="8">
        <v>0.18402777777777779</v>
      </c>
      <c r="L39">
        <v>285</v>
      </c>
      <c r="M39" s="11">
        <f>(N39+O39)/2</f>
        <v>0.79166666666666674</v>
      </c>
      <c r="N39" s="11">
        <f t="shared" si="3"/>
        <v>1</v>
      </c>
      <c r="O39" s="11">
        <f t="shared" si="4"/>
        <v>0.58333333333333337</v>
      </c>
      <c r="P39" s="11">
        <f t="shared" ref="P39" si="13">O39-N39</f>
        <v>-0.41666666666666663</v>
      </c>
      <c r="Q39" s="11">
        <f t="shared" ref="Q39" si="14">(R39+S39+U39+V39+X39+Y39+AA39+AB39)/(R39+S39+U39+V39+X39+Y39+AA39+AB39+W39+Z39+AC39+T39)</f>
        <v>0.36140350877192984</v>
      </c>
      <c r="R39">
        <v>43</v>
      </c>
      <c r="S39">
        <v>0</v>
      </c>
      <c r="T39">
        <v>8</v>
      </c>
      <c r="U39">
        <v>18</v>
      </c>
      <c r="V39">
        <v>20</v>
      </c>
      <c r="W39">
        <v>57</v>
      </c>
      <c r="X39">
        <v>0</v>
      </c>
      <c r="Y39">
        <v>0</v>
      </c>
      <c r="Z39">
        <v>0</v>
      </c>
      <c r="AA39">
        <v>17</v>
      </c>
      <c r="AB39">
        <v>5</v>
      </c>
      <c r="AC39">
        <v>117</v>
      </c>
      <c r="AD39">
        <v>290</v>
      </c>
      <c r="AE39">
        <v>558</v>
      </c>
    </row>
    <row r="40" spans="1:43" ht="57.7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2" t="s">
        <v>67</v>
      </c>
      <c r="N40" s="1" t="s">
        <v>68</v>
      </c>
      <c r="O40" s="1" t="s">
        <v>69</v>
      </c>
      <c r="P40" s="1" t="s">
        <v>70</v>
      </c>
      <c r="Q40" s="1" t="s">
        <v>71</v>
      </c>
      <c r="R40" s="2" t="s">
        <v>72</v>
      </c>
      <c r="S40" s="2" t="s">
        <v>73</v>
      </c>
      <c r="T40" s="2" t="s">
        <v>74</v>
      </c>
      <c r="U40" s="2" t="s">
        <v>75</v>
      </c>
      <c r="V40" s="2" t="s">
        <v>76</v>
      </c>
      <c r="W40" s="2" t="s">
        <v>77</v>
      </c>
      <c r="X40" s="2" t="s">
        <v>114</v>
      </c>
      <c r="Y40" s="2" t="s">
        <v>73</v>
      </c>
      <c r="Z40" s="2" t="s">
        <v>74</v>
      </c>
      <c r="AA40" s="2" t="s">
        <v>75</v>
      </c>
      <c r="AB40" s="2" t="s">
        <v>76</v>
      </c>
      <c r="AC40" s="2" t="s">
        <v>77</v>
      </c>
      <c r="AD40" s="1" t="s">
        <v>13</v>
      </c>
      <c r="AE40" s="1" t="s">
        <v>14</v>
      </c>
      <c r="AF40" s="1" t="s">
        <v>80</v>
      </c>
      <c r="AG40" t="s">
        <v>17</v>
      </c>
      <c r="AH40" s="18" t="s">
        <v>115</v>
      </c>
      <c r="AI40" s="19" t="s">
        <v>68</v>
      </c>
      <c r="AJ40" s="19" t="s">
        <v>69</v>
      </c>
      <c r="AK40" s="19" t="s">
        <v>116</v>
      </c>
      <c r="AL40" s="19" t="s">
        <v>117</v>
      </c>
      <c r="AM40" s="20" t="s">
        <v>118</v>
      </c>
      <c r="AN40" s="21" t="s">
        <v>119</v>
      </c>
      <c r="AO40" s="21" t="s">
        <v>120</v>
      </c>
      <c r="AP40" s="21" t="s">
        <v>121</v>
      </c>
      <c r="AQ40" s="21" t="s">
        <v>122</v>
      </c>
    </row>
    <row r="41" spans="1:43">
      <c r="A41" s="13">
        <v>45644</v>
      </c>
      <c r="B41" s="2" t="s">
        <v>24</v>
      </c>
      <c r="C41">
        <v>20.5</v>
      </c>
      <c r="D41" s="7">
        <f t="shared" si="0"/>
        <v>0.81673306772908361</v>
      </c>
      <c r="E41">
        <v>0</v>
      </c>
      <c r="F41">
        <v>0.4</v>
      </c>
      <c r="I41" t="s">
        <v>123</v>
      </c>
      <c r="J41" s="8">
        <v>0.22222222222222221</v>
      </c>
      <c r="K41" s="8">
        <v>0.25347222222222221</v>
      </c>
      <c r="L41">
        <v>300</v>
      </c>
      <c r="M41" s="11">
        <f>(N41+O41)/2</f>
        <v>0.81547619047619047</v>
      </c>
      <c r="N41" s="11">
        <f t="shared" ref="N41" si="15">(R41+X41)/(R41+S41+X41+Y41)</f>
        <v>1</v>
      </c>
      <c r="O41" s="11">
        <f t="shared" ref="O41" si="16">(U41+AA41)/(U41+V41+AA41+AB41)</f>
        <v>0.63095238095238093</v>
      </c>
      <c r="P41" s="11">
        <f t="shared" ref="P41" si="17">O41-N41</f>
        <v>-0.36904761904761907</v>
      </c>
      <c r="Q41" s="11">
        <f t="shared" ref="Q41" si="18">(R41+S41+U41+V41+X41+Y41+AA41+AB41)/(R41+S41+U41+V41+X41+Y41+AA41+AB41+W41+Z41+AC41+T41)</f>
        <v>0.70119521912350602</v>
      </c>
      <c r="R41">
        <f>37+18</f>
        <v>55</v>
      </c>
      <c r="S41">
        <v>0</v>
      </c>
      <c r="T41">
        <v>0</v>
      </c>
      <c r="U41">
        <v>37</v>
      </c>
      <c r="V41">
        <v>24</v>
      </c>
      <c r="W41">
        <v>62</v>
      </c>
      <c r="X41">
        <v>37</v>
      </c>
      <c r="Y41">
        <v>0</v>
      </c>
      <c r="Z41">
        <v>0</v>
      </c>
      <c r="AA41">
        <v>16</v>
      </c>
      <c r="AB41">
        <v>7</v>
      </c>
      <c r="AC41">
        <v>13</v>
      </c>
      <c r="AD41">
        <v>231</v>
      </c>
      <c r="AE41">
        <v>520</v>
      </c>
      <c r="AF41" t="s">
        <v>124</v>
      </c>
      <c r="AG41" t="s">
        <v>125</v>
      </c>
      <c r="AH41" s="22">
        <v>0.80300000000000005</v>
      </c>
      <c r="AI41" s="22">
        <v>1</v>
      </c>
      <c r="AJ41" s="22">
        <v>0.60699999999999998</v>
      </c>
      <c r="AK41" s="22">
        <v>-0.39300000000000002</v>
      </c>
      <c r="AL41" s="22">
        <v>0.65200000000000002</v>
      </c>
      <c r="AM41" s="22">
        <v>0.84799999999999998</v>
      </c>
      <c r="AN41" s="22">
        <v>1</v>
      </c>
      <c r="AO41" s="22">
        <v>0.69599999999999995</v>
      </c>
      <c r="AP41" s="22">
        <v>-0.30399999999999999</v>
      </c>
      <c r="AQ41" s="22">
        <v>0.82199999999999995</v>
      </c>
    </row>
    <row r="42" spans="1:43">
      <c r="A42" s="13">
        <v>45645</v>
      </c>
      <c r="B42" s="2" t="s">
        <v>26</v>
      </c>
      <c r="C42">
        <v>20.399999999999999</v>
      </c>
      <c r="D42" s="7">
        <f t="shared" si="0"/>
        <v>0.81274900398406369</v>
      </c>
      <c r="E42">
        <v>0.3</v>
      </c>
      <c r="F42" s="10">
        <f>(R42+U42+X42+AA42)*AF42/1000</f>
        <v>0.41599999999999998</v>
      </c>
      <c r="G42" s="10">
        <f>E42+F42</f>
        <v>0.71599999999999997</v>
      </c>
      <c r="I42" t="s">
        <v>123</v>
      </c>
      <c r="J42" s="8">
        <v>0.13541666666666666</v>
      </c>
      <c r="L42">
        <v>300</v>
      </c>
      <c r="M42" s="11">
        <f>(N42+O42)/2</f>
        <v>0.80303030303030298</v>
      </c>
      <c r="N42" s="11">
        <f t="shared" ref="N42:N43" si="19">(R42+X42)/(R42+S42+X42+Y42)</f>
        <v>1</v>
      </c>
      <c r="O42" s="11">
        <f t="shared" ref="O42:O43" si="20">(U42+AA42)/(U42+V42+AA42+AB42)</f>
        <v>0.60606060606060608</v>
      </c>
      <c r="P42" s="11">
        <f t="shared" ref="P42:P43" si="21">O42-N42</f>
        <v>-0.39393939393939392</v>
      </c>
      <c r="Q42" s="11">
        <f t="shared" ref="Q42:Q43" si="22">(R42+S42+U42+V42+X42+Y42+AA42+AB42)/(R42+S42+U42+V42+X42+Y42+AA42+AB42+W42+Z42+AC42+T42)</f>
        <v>0.39</v>
      </c>
      <c r="R42">
        <f>37+18</f>
        <v>55</v>
      </c>
      <c r="S42">
        <v>0</v>
      </c>
      <c r="T42">
        <v>4</v>
      </c>
      <c r="U42">
        <v>11</v>
      </c>
      <c r="V42">
        <v>8</v>
      </c>
      <c r="W42">
        <f>82+41</f>
        <v>123</v>
      </c>
      <c r="X42">
        <v>29</v>
      </c>
      <c r="Y42">
        <v>0</v>
      </c>
      <c r="Z42">
        <v>0</v>
      </c>
      <c r="AA42">
        <v>9</v>
      </c>
      <c r="AB42">
        <v>5</v>
      </c>
      <c r="AC42">
        <f>38+18</f>
        <v>56</v>
      </c>
      <c r="AF42">
        <v>4</v>
      </c>
      <c r="AG42" t="s">
        <v>126</v>
      </c>
      <c r="AH42" s="22">
        <v>0.78900000000000003</v>
      </c>
      <c r="AI42" s="22">
        <v>1</v>
      </c>
      <c r="AJ42" s="22">
        <v>0.57899999999999996</v>
      </c>
      <c r="AK42" s="22">
        <v>-0.42099999999999999</v>
      </c>
      <c r="AL42" s="22">
        <v>0.36799999999999999</v>
      </c>
      <c r="AM42" s="22">
        <v>0.82099999999999995</v>
      </c>
      <c r="AN42" s="22">
        <v>1</v>
      </c>
      <c r="AO42" s="22">
        <v>0.64300000000000002</v>
      </c>
      <c r="AP42" s="22">
        <v>-0.35699999999999998</v>
      </c>
      <c r="AQ42" s="22">
        <v>0.434</v>
      </c>
    </row>
    <row r="43" spans="1:43">
      <c r="A43" s="13">
        <v>45646</v>
      </c>
      <c r="B43" s="2" t="s">
        <v>27</v>
      </c>
      <c r="C43">
        <v>20.5</v>
      </c>
      <c r="D43" s="7">
        <f t="shared" ref="D43:D45" si="23">C43/$C$2</f>
        <v>0.81673306772908361</v>
      </c>
      <c r="F43" s="10">
        <f>(R43+U43+X43+AA43)*AF43/1000</f>
        <v>0.436</v>
      </c>
      <c r="G43" s="10">
        <f>E43+F43</f>
        <v>0.436</v>
      </c>
      <c r="I43" t="s">
        <v>123</v>
      </c>
      <c r="J43" s="8">
        <v>0.13402777777777777</v>
      </c>
      <c r="K43" s="8">
        <v>0.16805555555555557</v>
      </c>
      <c r="L43">
        <v>300</v>
      </c>
      <c r="M43" s="11">
        <f>(N43+O43)/2</f>
        <v>0.97972972972972983</v>
      </c>
      <c r="N43" s="11">
        <f t="shared" si="19"/>
        <v>0.98648648648648651</v>
      </c>
      <c r="O43" s="11">
        <f t="shared" si="20"/>
        <v>0.97297297297297303</v>
      </c>
      <c r="P43" s="11">
        <f t="shared" si="21"/>
        <v>-1.3513513513513487E-2</v>
      </c>
      <c r="Q43" s="11">
        <f t="shared" si="22"/>
        <v>0.37</v>
      </c>
      <c r="R43">
        <v>48</v>
      </c>
      <c r="S43">
        <v>0</v>
      </c>
      <c r="T43">
        <v>4</v>
      </c>
      <c r="U43">
        <v>17</v>
      </c>
      <c r="V43">
        <v>0</v>
      </c>
      <c r="W43">
        <v>131</v>
      </c>
      <c r="X43">
        <v>25</v>
      </c>
      <c r="Y43">
        <v>1</v>
      </c>
      <c r="Z43">
        <v>0</v>
      </c>
      <c r="AA43">
        <v>19</v>
      </c>
      <c r="AB43">
        <v>1</v>
      </c>
      <c r="AC43">
        <v>54</v>
      </c>
      <c r="AD43">
        <v>224</v>
      </c>
      <c r="AE43">
        <v>331</v>
      </c>
      <c r="AF43">
        <v>4</v>
      </c>
      <c r="AH43" s="22">
        <v>1</v>
      </c>
      <c r="AI43" s="22">
        <v>1</v>
      </c>
      <c r="AJ43" s="22">
        <v>1</v>
      </c>
      <c r="AK43" s="22">
        <v>0</v>
      </c>
      <c r="AL43" s="22">
        <v>0.32500000000000001</v>
      </c>
      <c r="AM43" s="22">
        <v>0.95599999999999996</v>
      </c>
      <c r="AN43" s="22">
        <v>0.96199999999999997</v>
      </c>
      <c r="AO43" s="22">
        <v>0.95</v>
      </c>
      <c r="AP43" s="22">
        <v>-1.2E-2</v>
      </c>
      <c r="AQ43" s="22">
        <v>0.46</v>
      </c>
    </row>
    <row r="44" spans="1:43">
      <c r="A44" s="13">
        <v>45647</v>
      </c>
      <c r="B44" s="2" t="s">
        <v>28</v>
      </c>
      <c r="C44">
        <v>20</v>
      </c>
      <c r="D44" s="7">
        <f t="shared" si="23"/>
        <v>0.79681274900398402</v>
      </c>
      <c r="F44" s="10">
        <f t="shared" ref="F44:F48" si="24">(R44+U44+X44+AA44)*AF44/1000</f>
        <v>0.628</v>
      </c>
      <c r="G44" s="10">
        <f t="shared" ref="G44:G48" si="25">E44+F44</f>
        <v>0.628</v>
      </c>
      <c r="I44" t="s">
        <v>127</v>
      </c>
      <c r="J44" s="8">
        <v>0.27777777777777779</v>
      </c>
      <c r="K44" s="8">
        <v>0.3125</v>
      </c>
      <c r="L44">
        <v>300</v>
      </c>
      <c r="M44" s="11">
        <f>(N44+O44)/2</f>
        <v>0.98529411764705888</v>
      </c>
      <c r="N44" s="11">
        <f t="shared" ref="N44" si="26">(R44+X44)/(R44+S44+X44+Y44)</f>
        <v>1</v>
      </c>
      <c r="O44" s="11">
        <f t="shared" ref="O44" si="27">(U44+AA44)/(U44+V44+AA44+AB44)</f>
        <v>0.97058823529411764</v>
      </c>
      <c r="P44" s="11">
        <f t="shared" ref="P44" si="28">O44-N44</f>
        <v>-2.9411764705882359E-2</v>
      </c>
      <c r="Q44" s="11">
        <f t="shared" ref="Q44" si="29">(R44+S44+U44+V44+X44+Y44+AA44+AB44)/(R44+S44+U44+V44+X44+Y44+AA44+AB44+W44+Z44+AC44+T44)</f>
        <v>0.53</v>
      </c>
      <c r="R44">
        <v>59</v>
      </c>
      <c r="S44">
        <v>0</v>
      </c>
      <c r="T44">
        <v>5</v>
      </c>
      <c r="U44">
        <v>39</v>
      </c>
      <c r="V44">
        <v>2</v>
      </c>
      <c r="W44">
        <v>95</v>
      </c>
      <c r="X44">
        <v>32</v>
      </c>
      <c r="Y44">
        <v>0</v>
      </c>
      <c r="Z44">
        <v>0</v>
      </c>
      <c r="AA44">
        <v>27</v>
      </c>
      <c r="AB44">
        <v>0</v>
      </c>
      <c r="AC44">
        <v>41</v>
      </c>
      <c r="AD44">
        <v>220</v>
      </c>
      <c r="AE44">
        <v>442</v>
      </c>
      <c r="AF44">
        <v>4</v>
      </c>
      <c r="AG44" t="s">
        <v>128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spans="1:43">
      <c r="A45" s="13">
        <v>45648</v>
      </c>
      <c r="B45" s="2" t="s">
        <v>29</v>
      </c>
      <c r="C45">
        <v>20.2</v>
      </c>
      <c r="D45" s="7">
        <f t="shared" si="23"/>
        <v>0.80478087649402386</v>
      </c>
      <c r="E45">
        <v>1.2</v>
      </c>
      <c r="F45" s="10">
        <f t="shared" si="24"/>
        <v>0</v>
      </c>
      <c r="G45" s="10">
        <f t="shared" si="25"/>
        <v>1.2</v>
      </c>
      <c r="I45" t="s">
        <v>113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 spans="1:43">
      <c r="A46" s="13">
        <v>45649</v>
      </c>
      <c r="B46" s="2" t="s">
        <v>19</v>
      </c>
      <c r="C46">
        <v>20.399999999999999</v>
      </c>
      <c r="D46" s="7">
        <f t="shared" ref="D46:D52" si="30">C46/$C$2</f>
        <v>0.81274900398406369</v>
      </c>
      <c r="F46" s="10">
        <f t="shared" si="24"/>
        <v>0.76</v>
      </c>
      <c r="G46" s="10">
        <f t="shared" si="25"/>
        <v>0.76</v>
      </c>
      <c r="I46" t="s">
        <v>129</v>
      </c>
      <c r="J46" s="8">
        <v>9.8611111111111108E-2</v>
      </c>
      <c r="K46" s="8">
        <v>0.12708333333333333</v>
      </c>
      <c r="L46">
        <v>300</v>
      </c>
      <c r="M46" s="11">
        <f>(N46+O46)/2</f>
        <v>0.95660358160358161</v>
      </c>
      <c r="N46" s="11">
        <f t="shared" ref="N46" si="31">(R46+X46)/(R46+S46+X46+Y46)</f>
        <v>0.93518518518518523</v>
      </c>
      <c r="O46" s="11">
        <f t="shared" ref="O46" si="32">(U46+AA46)/(U46+V46+AA46+AB46)</f>
        <v>0.97802197802197799</v>
      </c>
      <c r="P46" s="11">
        <f t="shared" ref="P46" si="33">O46-N46</f>
        <v>4.2836792836792759E-2</v>
      </c>
      <c r="Q46" s="11">
        <f t="shared" ref="Q46" si="34">(R46+S46+U46+V46+X46+Y46+AA46+AB46)/(R46+S46+U46+V46+X46+Y46+AA46+AB46+W46+Z46+AC46+T46)</f>
        <v>0.66333333333333333</v>
      </c>
      <c r="R46">
        <v>73</v>
      </c>
      <c r="S46">
        <v>2</v>
      </c>
      <c r="T46">
        <v>17</v>
      </c>
      <c r="U46">
        <v>67</v>
      </c>
      <c r="V46">
        <v>1</v>
      </c>
      <c r="W46">
        <v>40</v>
      </c>
      <c r="X46">
        <v>28</v>
      </c>
      <c r="Y46">
        <v>5</v>
      </c>
      <c r="Z46">
        <v>13</v>
      </c>
      <c r="AA46">
        <v>22</v>
      </c>
      <c r="AB46">
        <v>1</v>
      </c>
      <c r="AC46">
        <v>31</v>
      </c>
      <c r="AD46">
        <v>126</v>
      </c>
      <c r="AE46">
        <v>610</v>
      </c>
      <c r="AF46">
        <v>4</v>
      </c>
      <c r="AG46" t="s">
        <v>130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</row>
    <row r="47" spans="1:43">
      <c r="A47" s="13">
        <v>45650</v>
      </c>
      <c r="B47" s="2" t="s">
        <v>22</v>
      </c>
      <c r="C47">
        <v>20</v>
      </c>
      <c r="D47" s="7">
        <f t="shared" si="30"/>
        <v>0.79681274900398402</v>
      </c>
      <c r="E47">
        <v>0.2</v>
      </c>
      <c r="F47" s="10">
        <f t="shared" si="24"/>
        <v>0.78</v>
      </c>
      <c r="G47" s="10">
        <f t="shared" si="25"/>
        <v>0.98</v>
      </c>
      <c r="I47" t="s">
        <v>127</v>
      </c>
      <c r="L47">
        <v>300</v>
      </c>
      <c r="M47" s="11">
        <f>(N47+O47)/2</f>
        <v>0.93001089324618735</v>
      </c>
      <c r="N47" s="11">
        <f t="shared" ref="N47" si="35">(R47+X47)/(R47+S47+X47+Y47)</f>
        <v>0.87962962962962965</v>
      </c>
      <c r="O47" s="11">
        <f t="shared" ref="O47" si="36">(U47+AA47)/(U47+V47+AA47+AB47)</f>
        <v>0.98039215686274506</v>
      </c>
      <c r="P47" s="11">
        <f t="shared" ref="P47" si="37">O47-N47</f>
        <v>0.10076252723311541</v>
      </c>
      <c r="Q47" s="11">
        <f t="shared" ref="Q47" si="38">(R47+S47+U47+V47+X47+Y47+AA47+AB47)/(R47+S47+U47+V47+X47+Y47+AA47+AB47+W47+Z47+AC47+T47)</f>
        <v>0.7</v>
      </c>
      <c r="R47">
        <v>63</v>
      </c>
      <c r="S47">
        <v>10</v>
      </c>
      <c r="T47">
        <v>29</v>
      </c>
      <c r="U47">
        <v>66</v>
      </c>
      <c r="V47">
        <v>0</v>
      </c>
      <c r="W47">
        <v>32</v>
      </c>
      <c r="X47">
        <v>32</v>
      </c>
      <c r="Y47">
        <v>3</v>
      </c>
      <c r="Z47">
        <v>16</v>
      </c>
      <c r="AA47">
        <v>34</v>
      </c>
      <c r="AB47">
        <v>2</v>
      </c>
      <c r="AC47">
        <v>13</v>
      </c>
      <c r="AD47">
        <v>146</v>
      </c>
      <c r="AE47">
        <v>690</v>
      </c>
      <c r="AF47">
        <v>4</v>
      </c>
      <c r="AG47" t="s">
        <v>131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spans="1:43" ht="17.25" customHeight="1">
      <c r="A48" s="13">
        <v>45651</v>
      </c>
      <c r="B48" s="2" t="s">
        <v>24</v>
      </c>
      <c r="C48">
        <v>20.399999999999999</v>
      </c>
      <c r="D48" s="7">
        <f t="shared" si="30"/>
        <v>0.81274900398406369</v>
      </c>
      <c r="E48">
        <v>0.2</v>
      </c>
      <c r="F48" s="10">
        <f t="shared" si="24"/>
        <v>0.59599999999999997</v>
      </c>
      <c r="G48" s="10">
        <f t="shared" si="25"/>
        <v>0.79600000000000004</v>
      </c>
      <c r="I48" t="s">
        <v>129</v>
      </c>
      <c r="J48" s="8">
        <v>6.25E-2</v>
      </c>
      <c r="L48">
        <v>300</v>
      </c>
      <c r="M48" s="11">
        <f>(N48+O48)/2</f>
        <v>0.90889492175023956</v>
      </c>
      <c r="N48" s="11">
        <f t="shared" ref="N48" si="39">(R48+X48)/(R48+S48+X48+Y48)</f>
        <v>0.93069306930693074</v>
      </c>
      <c r="O48" s="11">
        <f t="shared" ref="O48" si="40">(U48+AA48)/(U48+V48+AA48+AB48)</f>
        <v>0.88709677419354838</v>
      </c>
      <c r="P48" s="11">
        <f t="shared" ref="P48" si="41">O48-N48</f>
        <v>-4.3596295113382366E-2</v>
      </c>
      <c r="Q48" s="11">
        <f t="shared" ref="Q48" si="42">(R48+S48+U48+V48+X48+Y48+AA48+AB48)/(R48+S48+U48+V48+X48+Y48+AA48+AB48+W48+Z48+AC48+T48)</f>
        <v>0.54333333333333333</v>
      </c>
      <c r="R48">
        <v>68</v>
      </c>
      <c r="S48">
        <v>6</v>
      </c>
      <c r="T48">
        <v>22</v>
      </c>
      <c r="U48">
        <v>37</v>
      </c>
      <c r="V48">
        <v>5</v>
      </c>
      <c r="W48">
        <v>62</v>
      </c>
      <c r="X48">
        <v>26</v>
      </c>
      <c r="Y48">
        <v>1</v>
      </c>
      <c r="Z48">
        <v>21</v>
      </c>
      <c r="AA48">
        <v>18</v>
      </c>
      <c r="AB48">
        <v>2</v>
      </c>
      <c r="AC48">
        <v>32</v>
      </c>
      <c r="AD48">
        <v>143</v>
      </c>
      <c r="AE48">
        <v>289</v>
      </c>
      <c r="AF48">
        <v>4</v>
      </c>
      <c r="AG48" t="s">
        <v>130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spans="1:33">
      <c r="A49" s="13">
        <v>45652</v>
      </c>
      <c r="B49" s="2" t="s">
        <v>26</v>
      </c>
      <c r="C49">
        <v>20.399999999999999</v>
      </c>
      <c r="D49" s="7">
        <f t="shared" si="30"/>
        <v>0.81274900398406369</v>
      </c>
      <c r="E49">
        <v>0.6</v>
      </c>
      <c r="F49" s="10">
        <f>(R49+U49+X49+AA49)*AF49/1000</f>
        <v>0.248</v>
      </c>
      <c r="G49" s="10">
        <f>E49+F49</f>
        <v>0.84799999999999998</v>
      </c>
      <c r="I49" t="s">
        <v>132</v>
      </c>
      <c r="J49" s="8">
        <v>0.125</v>
      </c>
      <c r="K49" s="8">
        <v>0.15763888888888888</v>
      </c>
      <c r="L49">
        <v>300</v>
      </c>
      <c r="M49" s="11">
        <f>(N49+O49)/2</f>
        <v>0.43055848261327712</v>
      </c>
      <c r="N49" s="11">
        <f t="shared" ref="N49" si="43">(R49+X49)/(R49+S49+X49+Y49)</f>
        <v>0.1076923076923077</v>
      </c>
      <c r="O49" s="11">
        <f t="shared" ref="O49" si="44">(U49+AA49)/(U49+V49+AA49+AB49)</f>
        <v>0.75342465753424659</v>
      </c>
      <c r="P49" s="11">
        <f t="shared" ref="P49" si="45">O49-N49</f>
        <v>0.64573234984193895</v>
      </c>
      <c r="Q49" s="11">
        <f t="shared" ref="Q49" si="46">(R49+S49+U49+V49+X49+Y49+AA49+AB49)/(R49+S49+U49+V49+X49+Y49+AA49+AB49+W49+Z49+AC49+T49)</f>
        <v>0.5092250922509225</v>
      </c>
      <c r="R49">
        <v>4</v>
      </c>
      <c r="S49">
        <v>37</v>
      </c>
      <c r="T49">
        <v>58</v>
      </c>
      <c r="U49">
        <v>38</v>
      </c>
      <c r="V49">
        <v>12</v>
      </c>
      <c r="W49">
        <v>33</v>
      </c>
      <c r="X49">
        <v>3</v>
      </c>
      <c r="Y49">
        <v>21</v>
      </c>
      <c r="Z49">
        <v>24</v>
      </c>
      <c r="AA49">
        <v>17</v>
      </c>
      <c r="AB49">
        <v>6</v>
      </c>
      <c r="AC49">
        <v>18</v>
      </c>
      <c r="AD49">
        <v>44</v>
      </c>
      <c r="AE49">
        <v>924</v>
      </c>
      <c r="AF49">
        <v>4</v>
      </c>
    </row>
    <row r="50" spans="1:33">
      <c r="A50" s="13">
        <v>45653</v>
      </c>
      <c r="B50" s="2" t="s">
        <v>27</v>
      </c>
      <c r="C50">
        <v>20.5</v>
      </c>
      <c r="D50" s="7">
        <f t="shared" si="30"/>
        <v>0.81673306772908361</v>
      </c>
      <c r="E50">
        <v>0.6</v>
      </c>
      <c r="F50" s="10">
        <f>(R50+U50+X50+AA50)*AF50/1000</f>
        <v>0.248</v>
      </c>
      <c r="G50" s="10">
        <f>E50+F50</f>
        <v>0.84799999999999998</v>
      </c>
      <c r="I50" t="s">
        <v>132</v>
      </c>
      <c r="J50" s="8">
        <v>0.1388888888888889</v>
      </c>
      <c r="K50" s="8">
        <v>0.17222222222222222</v>
      </c>
      <c r="L50">
        <v>300</v>
      </c>
      <c r="M50" s="11">
        <f>(N50+O50)/2</f>
        <v>0.40708252111760884</v>
      </c>
      <c r="N50" s="11">
        <f t="shared" ref="N50" si="47">(R50+X50)/(R50+S50+X50+Y50)</f>
        <v>2.4691358024691357E-2</v>
      </c>
      <c r="O50" s="11">
        <f t="shared" ref="O50" si="48">(U50+AA50)/(U50+V50+AA50+AB50)</f>
        <v>0.78947368421052633</v>
      </c>
      <c r="P50" s="11">
        <f t="shared" ref="P50" si="49">O50-N50</f>
        <v>0.76478232618583497</v>
      </c>
      <c r="Q50" s="11">
        <f t="shared" ref="Q50" si="50">(R50+S50+U50+V50+X50+Y50+AA50+AB50)/(R50+S50+U50+V50+X50+Y50+AA50+AB50+W50+Z50+AC50+T50)</f>
        <v>0.58364312267657992</v>
      </c>
      <c r="R50">
        <v>1</v>
      </c>
      <c r="S50">
        <v>46</v>
      </c>
      <c r="T50">
        <v>64</v>
      </c>
      <c r="U50">
        <v>41</v>
      </c>
      <c r="V50">
        <v>11</v>
      </c>
      <c r="W50">
        <v>15</v>
      </c>
      <c r="X50">
        <v>1</v>
      </c>
      <c r="Y50">
        <v>33</v>
      </c>
      <c r="Z50">
        <v>22</v>
      </c>
      <c r="AA50">
        <v>19</v>
      </c>
      <c r="AB50">
        <v>5</v>
      </c>
      <c r="AC50">
        <v>11</v>
      </c>
      <c r="AD50">
        <v>51</v>
      </c>
      <c r="AE50">
        <v>697</v>
      </c>
      <c r="AF50">
        <v>4</v>
      </c>
    </row>
    <row r="51" spans="1:33">
      <c r="A51" s="13">
        <v>45654</v>
      </c>
      <c r="B51" s="2" t="s">
        <v>28</v>
      </c>
      <c r="C51">
        <v>20.6</v>
      </c>
      <c r="D51" s="7">
        <f t="shared" si="30"/>
        <v>0.82071713147410363</v>
      </c>
      <c r="E51">
        <v>0.9</v>
      </c>
      <c r="I51" t="s">
        <v>133</v>
      </c>
    </row>
    <row r="52" spans="1:33">
      <c r="A52" s="13">
        <v>45655</v>
      </c>
      <c r="B52" s="2" t="s">
        <v>29</v>
      </c>
      <c r="C52">
        <v>20.8</v>
      </c>
      <c r="D52" s="7">
        <f t="shared" si="30"/>
        <v>0.82868525896414336</v>
      </c>
      <c r="E52">
        <v>0.8</v>
      </c>
      <c r="I52" t="s">
        <v>133</v>
      </c>
    </row>
    <row r="53" spans="1:33" s="9" customFormat="1" ht="42" customHeight="1">
      <c r="A53" s="13">
        <v>45656</v>
      </c>
      <c r="B53" s="2" t="s">
        <v>19</v>
      </c>
      <c r="C53" s="9">
        <v>20.6</v>
      </c>
      <c r="D53" s="14">
        <f t="shared" ref="D53:D76" si="51">C53/$C$2</f>
        <v>0.82071713147410363</v>
      </c>
      <c r="E53" s="9">
        <v>0.8</v>
      </c>
      <c r="I53" s="9" t="s">
        <v>132</v>
      </c>
      <c r="J53" s="15" t="s">
        <v>134</v>
      </c>
      <c r="L53" s="9">
        <v>300</v>
      </c>
      <c r="M53" s="11">
        <f>(N53+O53)/2</f>
        <v>0.34492635024549922</v>
      </c>
      <c r="N53" s="11">
        <f t="shared" ref="N53" si="52">(R53+X53)/(R53+S53+X53+Y53)</f>
        <v>0.11538461538461539</v>
      </c>
      <c r="O53" s="11">
        <f t="shared" ref="O53" si="53">(U53+AA53)/(U53+V53+AA53+AB53)</f>
        <v>0.57446808510638303</v>
      </c>
      <c r="P53" s="11">
        <f t="shared" ref="P53" si="54">O53-N53</f>
        <v>0.45908346972176761</v>
      </c>
      <c r="Q53" s="11">
        <f t="shared" ref="Q53" si="55">(R53+S53+U53+V53+X53+Y53+AA53+AB53)/(R53+S53+U53+V53+X53+Y53+AA53+AB53+W53+Z53+AC53+T53)</f>
        <v>0.54074074074074074</v>
      </c>
      <c r="R53" s="9">
        <v>4</v>
      </c>
      <c r="S53" s="9">
        <v>28</v>
      </c>
      <c r="T53" s="9">
        <v>58</v>
      </c>
      <c r="U53" s="9">
        <v>38</v>
      </c>
      <c r="V53" s="9">
        <v>23</v>
      </c>
      <c r="W53" s="9">
        <v>29</v>
      </c>
      <c r="X53" s="9">
        <v>2</v>
      </c>
      <c r="Y53" s="9">
        <v>18</v>
      </c>
      <c r="Z53" s="9">
        <v>25</v>
      </c>
      <c r="AA53" s="9">
        <v>16</v>
      </c>
      <c r="AB53" s="9">
        <v>17</v>
      </c>
      <c r="AC53" s="9">
        <v>12</v>
      </c>
      <c r="AD53" s="9">
        <v>130</v>
      </c>
      <c r="AE53" s="9">
        <v>203</v>
      </c>
      <c r="AF53" s="9">
        <v>4</v>
      </c>
      <c r="AG53" s="1" t="s">
        <v>135</v>
      </c>
    </row>
    <row r="54" spans="1:33">
      <c r="A54" s="13">
        <v>45657</v>
      </c>
      <c r="B54" s="2" t="s">
        <v>22</v>
      </c>
      <c r="C54">
        <v>21.5</v>
      </c>
      <c r="D54" s="14">
        <f t="shared" si="51"/>
        <v>0.85657370517928277</v>
      </c>
      <c r="I54" s="9" t="s">
        <v>132</v>
      </c>
      <c r="J54" t="s">
        <v>136</v>
      </c>
      <c r="L54" s="9">
        <v>300</v>
      </c>
      <c r="M54" s="11">
        <f>(N54+O54)/2</f>
        <v>0.47887323943661969</v>
      </c>
      <c r="N54" s="11">
        <f t="shared" ref="N54" si="56">(R54+X54)/(R54+S54+X54+Y54)</f>
        <v>0</v>
      </c>
      <c r="O54" s="11">
        <f t="shared" ref="O54" si="57">(U54+AA54)/(U54+V54+AA54+AB54)</f>
        <v>0.95774647887323938</v>
      </c>
      <c r="P54" s="11">
        <f t="shared" ref="P54" si="58">O54-N54</f>
        <v>0.95774647887323938</v>
      </c>
      <c r="Q54" s="11">
        <f t="shared" ref="Q54" si="59">(R54+S54+U54+V54+X54+Y54+AA54+AB54)/(R54+S54+U54+V54+X54+Y54+AA54+AB54+W54+Z54+AC54+T54)</f>
        <v>0.4606741573033708</v>
      </c>
      <c r="R54">
        <v>0</v>
      </c>
      <c r="S54">
        <v>31</v>
      </c>
      <c r="T54">
        <v>82</v>
      </c>
      <c r="U54">
        <v>46</v>
      </c>
      <c r="V54">
        <v>2</v>
      </c>
      <c r="W54">
        <v>16</v>
      </c>
      <c r="X54">
        <v>0</v>
      </c>
      <c r="Y54">
        <v>21</v>
      </c>
      <c r="Z54">
        <v>37</v>
      </c>
      <c r="AA54">
        <v>22</v>
      </c>
      <c r="AB54">
        <v>1</v>
      </c>
      <c r="AC54">
        <v>9</v>
      </c>
      <c r="AD54">
        <v>16</v>
      </c>
      <c r="AE54">
        <v>200</v>
      </c>
      <c r="AF54">
        <v>4</v>
      </c>
      <c r="AG54" t="s">
        <v>137</v>
      </c>
    </row>
    <row r="55" spans="1:33">
      <c r="A55" s="13">
        <v>45658</v>
      </c>
      <c r="B55" s="2" t="s">
        <v>24</v>
      </c>
      <c r="C55">
        <v>21</v>
      </c>
      <c r="D55" s="14">
        <f t="shared" si="51"/>
        <v>0.83665338645418319</v>
      </c>
      <c r="I55" s="9" t="s">
        <v>132</v>
      </c>
      <c r="J55" s="8">
        <v>0.15972222222222221</v>
      </c>
      <c r="L55" s="9">
        <v>300</v>
      </c>
      <c r="M55" s="11">
        <f>(N55+O55)/2</f>
        <v>0.5</v>
      </c>
      <c r="N55" s="11">
        <f t="shared" ref="N55" si="60">(R55+X55)/(R55+S55+X55+Y55)</f>
        <v>0</v>
      </c>
      <c r="O55" s="11">
        <f t="shared" ref="O55" si="61">(U55+AA55)/(U55+V55+AA55+AB55)</f>
        <v>1</v>
      </c>
      <c r="P55" s="11">
        <f t="shared" ref="P55" si="62">O55-N55</f>
        <v>1</v>
      </c>
      <c r="Q55" s="11">
        <f t="shared" ref="Q55" si="63">(R55+S55+U55+V55+X55+Y55+AA55+AB55)/(R55+S55+U55+V55+X55+Y55+AA55+AB55+W55+Z55+AC55+T55)</f>
        <v>0.55471698113207546</v>
      </c>
      <c r="R55">
        <v>0</v>
      </c>
      <c r="S55">
        <v>49</v>
      </c>
      <c r="T55">
        <v>86</v>
      </c>
      <c r="U55">
        <v>38</v>
      </c>
      <c r="V55">
        <v>0</v>
      </c>
      <c r="W55">
        <v>3</v>
      </c>
      <c r="X55">
        <v>0</v>
      </c>
      <c r="Y55">
        <v>41</v>
      </c>
      <c r="Z55">
        <v>28</v>
      </c>
      <c r="AA55">
        <v>19</v>
      </c>
      <c r="AB55">
        <v>0</v>
      </c>
      <c r="AC55">
        <v>1</v>
      </c>
      <c r="AD55">
        <v>5</v>
      </c>
      <c r="AE55">
        <v>732</v>
      </c>
    </row>
    <row r="56" spans="1:33">
      <c r="A56" s="13">
        <v>45659</v>
      </c>
      <c r="B56" s="2" t="s">
        <v>26</v>
      </c>
      <c r="C56">
        <v>20.5</v>
      </c>
      <c r="D56" s="14">
        <f t="shared" si="51"/>
        <v>0.81673306772908361</v>
      </c>
      <c r="E56">
        <v>0.4</v>
      </c>
      <c r="I56" t="s">
        <v>104</v>
      </c>
      <c r="J56" s="8">
        <v>0.11458333333333333</v>
      </c>
      <c r="L56">
        <v>227</v>
      </c>
      <c r="M56">
        <v>2049</v>
      </c>
      <c r="N56">
        <v>281</v>
      </c>
      <c r="O56">
        <v>652</v>
      </c>
      <c r="P56">
        <v>113</v>
      </c>
      <c r="Q56">
        <v>114</v>
      </c>
    </row>
    <row r="57" spans="1:33" ht="29.25">
      <c r="A57" s="13">
        <v>45660</v>
      </c>
      <c r="B57" s="2" t="s">
        <v>27</v>
      </c>
      <c r="C57">
        <v>20.3</v>
      </c>
      <c r="D57" s="14">
        <f t="shared" si="51"/>
        <v>0.80876494023904377</v>
      </c>
      <c r="E57">
        <v>0.5</v>
      </c>
      <c r="I57" s="16" t="s">
        <v>138</v>
      </c>
      <c r="J57" s="8">
        <v>0.1076388888888889</v>
      </c>
      <c r="L57" s="9">
        <v>300</v>
      </c>
      <c r="M57" s="11">
        <f>(N57+O57)/2</f>
        <v>0.54735051915503041</v>
      </c>
      <c r="N57" s="11">
        <f t="shared" ref="N57" si="64">(R57+X57)/(R57+S57+X57+Y57)</f>
        <v>0.11224489795918367</v>
      </c>
      <c r="O57" s="11">
        <f t="shared" ref="O57" si="65">(U57+AA57)/(U57+V57+AA57+AB57)</f>
        <v>0.98245614035087714</v>
      </c>
      <c r="P57" s="11">
        <f t="shared" ref="P57" si="66">O57-N57</f>
        <v>0.87021124239169345</v>
      </c>
      <c r="Q57" s="11">
        <f t="shared" ref="Q57" si="67">(R57+S57+U57+V57+X57+Y57+AA57+AB57)/(R57+S57+U57+V57+X57+Y57+AA57+AB57+W57+Z57+AC57+T57)</f>
        <v>0.58490566037735847</v>
      </c>
      <c r="R57">
        <v>6</v>
      </c>
      <c r="S57">
        <v>52</v>
      </c>
      <c r="T57">
        <v>77</v>
      </c>
      <c r="U57">
        <v>37</v>
      </c>
      <c r="V57">
        <v>0</v>
      </c>
      <c r="W57">
        <v>4</v>
      </c>
      <c r="X57">
        <v>5</v>
      </c>
      <c r="Y57">
        <v>35</v>
      </c>
      <c r="Z57">
        <v>28</v>
      </c>
      <c r="AA57">
        <v>19</v>
      </c>
      <c r="AB57">
        <v>1</v>
      </c>
      <c r="AC57">
        <v>1</v>
      </c>
      <c r="AD57">
        <v>133</v>
      </c>
      <c r="AE57">
        <v>748</v>
      </c>
      <c r="AF57">
        <v>4</v>
      </c>
      <c r="AG57" t="s">
        <v>139</v>
      </c>
    </row>
    <row r="58" spans="1:33">
      <c r="A58" s="13">
        <v>45661</v>
      </c>
      <c r="B58" s="2" t="s">
        <v>28</v>
      </c>
      <c r="C58">
        <v>21.1</v>
      </c>
      <c r="D58" s="14">
        <f t="shared" si="51"/>
        <v>0.84063745019920322</v>
      </c>
      <c r="E58">
        <v>0.8</v>
      </c>
      <c r="I58" t="s">
        <v>133</v>
      </c>
    </row>
    <row r="59" spans="1:33">
      <c r="A59" s="13">
        <v>45662</v>
      </c>
      <c r="B59" s="2" t="s">
        <v>29</v>
      </c>
      <c r="C59">
        <v>21.3</v>
      </c>
      <c r="D59" s="14">
        <f t="shared" si="51"/>
        <v>0.84860557768924305</v>
      </c>
      <c r="E59">
        <v>0.7</v>
      </c>
      <c r="I59" t="s">
        <v>133</v>
      </c>
    </row>
    <row r="60" spans="1:33" ht="29.25">
      <c r="A60" s="13">
        <v>45663</v>
      </c>
      <c r="B60" s="2" t="s">
        <v>19</v>
      </c>
      <c r="C60">
        <v>20.8</v>
      </c>
      <c r="D60" s="14">
        <f t="shared" si="51"/>
        <v>0.82868525896414336</v>
      </c>
      <c r="I60" s="16" t="s">
        <v>140</v>
      </c>
      <c r="L60" s="9">
        <v>300</v>
      </c>
      <c r="M60" s="11">
        <f>(N60+O60)/2</f>
        <v>0.51470588235294112</v>
      </c>
      <c r="N60" s="11">
        <f t="shared" ref="N60" si="68">(R60+X60)/(R60+S60+X60+Y60)</f>
        <v>2.9411764705882353E-2</v>
      </c>
      <c r="O60" s="11">
        <f t="shared" ref="O60" si="69">(U60+AA60)/(U60+V60+AA60+AB60)</f>
        <v>1</v>
      </c>
      <c r="P60" s="11">
        <f t="shared" ref="P60" si="70">O60-N60</f>
        <v>0.97058823529411764</v>
      </c>
      <c r="Q60" s="11">
        <f t="shared" ref="Q60" si="71">(R60+S60+U60+V60+X60+Y60+AA60+AB60)/(R60+S60+U60+V60+X60+Y60+AA60+AB60+W60+Z60+AC60+T60)</f>
        <v>0.51879699248120303</v>
      </c>
      <c r="R60">
        <v>2</v>
      </c>
      <c r="S60">
        <v>34</v>
      </c>
      <c r="T60">
        <v>95</v>
      </c>
      <c r="U60">
        <v>46</v>
      </c>
      <c r="V60">
        <v>0</v>
      </c>
      <c r="W60">
        <v>0</v>
      </c>
      <c r="X60">
        <v>0</v>
      </c>
      <c r="Y60">
        <v>32</v>
      </c>
      <c r="Z60">
        <v>33</v>
      </c>
      <c r="AA60">
        <v>24</v>
      </c>
      <c r="AB60">
        <v>0</v>
      </c>
      <c r="AC60">
        <v>0</v>
      </c>
      <c r="AD60">
        <v>64</v>
      </c>
      <c r="AE60">
        <v>746</v>
      </c>
      <c r="AF60">
        <v>4</v>
      </c>
    </row>
    <row r="61" spans="1:33" ht="29.25">
      <c r="A61" s="13">
        <v>45664</v>
      </c>
      <c r="B61" s="2" t="s">
        <v>22</v>
      </c>
      <c r="C61">
        <v>20.5</v>
      </c>
      <c r="D61" s="14">
        <f t="shared" si="51"/>
        <v>0.81673306772908361</v>
      </c>
      <c r="E61">
        <v>0.5</v>
      </c>
      <c r="I61" s="16" t="s">
        <v>141</v>
      </c>
      <c r="L61" s="9">
        <v>300</v>
      </c>
      <c r="M61" s="11">
        <f>(N61+O61)/2</f>
        <v>0.5</v>
      </c>
      <c r="N61" s="11">
        <f t="shared" ref="N61" si="72">(R61+X61)/(R61+S61+X61+Y61)</f>
        <v>0</v>
      </c>
      <c r="O61" s="11">
        <f t="shared" ref="O61" si="73">(U61+AA61)/(U61+V61+AA61+AB61)</f>
        <v>1</v>
      </c>
      <c r="P61" s="11">
        <f t="shared" ref="P61" si="74">O61-N61</f>
        <v>1</v>
      </c>
      <c r="Q61" s="11">
        <f t="shared" ref="Q61" si="75">(R61+S61+U61+V61+X61+Y61+AA61+AB61)/(R61+S61+U61+V61+X61+Y61+AA61+AB61+W61+Z61+AC61+T61)</f>
        <v>0.54189944134078216</v>
      </c>
      <c r="R61">
        <v>0</v>
      </c>
      <c r="S61">
        <v>14</v>
      </c>
      <c r="T61">
        <v>58</v>
      </c>
      <c r="U61">
        <v>49</v>
      </c>
      <c r="V61">
        <v>0</v>
      </c>
      <c r="W61">
        <v>0</v>
      </c>
      <c r="X61">
        <v>0</v>
      </c>
      <c r="Y61">
        <v>10</v>
      </c>
      <c r="Z61">
        <v>24</v>
      </c>
      <c r="AA61">
        <v>24</v>
      </c>
      <c r="AB61">
        <v>0</v>
      </c>
      <c r="AC61">
        <v>0</v>
      </c>
      <c r="AD61">
        <v>19</v>
      </c>
      <c r="AE61">
        <v>390</v>
      </c>
      <c r="AF61">
        <v>4</v>
      </c>
    </row>
    <row r="62" spans="1:33">
      <c r="A62" s="13">
        <v>45665</v>
      </c>
      <c r="B62" s="2" t="s">
        <v>24</v>
      </c>
      <c r="C62">
        <v>20.399999999999999</v>
      </c>
      <c r="D62" s="14">
        <f t="shared" si="51"/>
        <v>0.81274900398406369</v>
      </c>
      <c r="E62">
        <v>1</v>
      </c>
      <c r="I62" t="s">
        <v>142</v>
      </c>
      <c r="J62" s="8">
        <v>0.1388888888888889</v>
      </c>
      <c r="L62" s="9">
        <v>300</v>
      </c>
      <c r="M62" s="11" t="e">
        <f>(N62+O62)/2</f>
        <v>#DIV/0!</v>
      </c>
      <c r="N62" s="11">
        <f t="shared" ref="N62" si="76">(R62+X62)/(R62+S62+X62+Y62)</f>
        <v>0.16216216216216217</v>
      </c>
      <c r="O62" s="11" t="e">
        <f t="shared" ref="O62" si="77">(U62+AA62)/(U62+V62+AA62+AB62)</f>
        <v>#DIV/0!</v>
      </c>
      <c r="P62" s="11" t="e">
        <f t="shared" ref="P62" si="78">O62-N62</f>
        <v>#DIV/0!</v>
      </c>
      <c r="Q62" s="11">
        <f t="shared" ref="Q62" si="79">(R62+S62+U62+V62+X62+Y62+AA62+AB62)/(R62+S62+U62+V62+X62+Y62+AA62+AB62+W62+Z62+AC62+T62)</f>
        <v>0.14396887159533073</v>
      </c>
      <c r="R62">
        <v>6</v>
      </c>
      <c r="S62">
        <v>31</v>
      </c>
      <c r="T62">
        <v>220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56</v>
      </c>
      <c r="AE62">
        <v>194</v>
      </c>
      <c r="AF62">
        <v>4</v>
      </c>
    </row>
    <row r="63" spans="1:33">
      <c r="A63" s="13">
        <v>45666</v>
      </c>
      <c r="B63" s="2" t="s">
        <v>26</v>
      </c>
      <c r="C63">
        <v>20.5</v>
      </c>
      <c r="D63" s="14">
        <f t="shared" si="51"/>
        <v>0.81673306772908361</v>
      </c>
      <c r="I63" t="s">
        <v>142</v>
      </c>
      <c r="J63" s="8">
        <v>0.1111111111111111</v>
      </c>
      <c r="L63" s="9">
        <v>300</v>
      </c>
      <c r="M63" s="11" t="e">
        <f>(N63+O63)/2</f>
        <v>#DIV/0!</v>
      </c>
      <c r="N63" s="11">
        <f t="shared" ref="N63" si="80">(R63+X63)/(R63+S63+X63+Y63)</f>
        <v>0.08</v>
      </c>
      <c r="O63" s="11" t="e">
        <f t="shared" ref="O63" si="81">(U63+AA63)/(U63+V63+AA63+AB63)</f>
        <v>#DIV/0!</v>
      </c>
      <c r="P63" s="11" t="e">
        <f t="shared" ref="P63" si="82">O63-N63</f>
        <v>#DIV/0!</v>
      </c>
      <c r="Q63" s="11">
        <f t="shared" ref="Q63" si="83">(R63+S63+U63+V63+X63+Y63+AA63+AB63)/(R63+S63+U63+V63+X63+Y63+AA63+AB63+W63+Z63+AC63+T63)</f>
        <v>9.727626459143969E-2</v>
      </c>
      <c r="R63">
        <v>2</v>
      </c>
      <c r="S63">
        <v>23</v>
      </c>
      <c r="T63">
        <v>232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33</v>
      </c>
      <c r="AE63">
        <v>197</v>
      </c>
      <c r="AF63">
        <v>4</v>
      </c>
    </row>
    <row r="64" spans="1:33" ht="29.25">
      <c r="A64" s="13">
        <v>45667</v>
      </c>
      <c r="B64" s="2" t="s">
        <v>27</v>
      </c>
      <c r="C64">
        <v>20.100000000000001</v>
      </c>
      <c r="D64" s="14">
        <f t="shared" si="51"/>
        <v>0.80079681274900405</v>
      </c>
      <c r="I64" s="16" t="s">
        <v>143</v>
      </c>
      <c r="J64" s="8">
        <v>0.36805555555555558</v>
      </c>
      <c r="L64" s="9">
        <v>300</v>
      </c>
      <c r="M64" s="11" t="e">
        <f>(N64+O64)/2</f>
        <v>#DIV/0!</v>
      </c>
      <c r="N64" s="11">
        <f t="shared" ref="N64" si="84">(R64+X64)/(R64+S64+X64+Y64)</f>
        <v>0</v>
      </c>
      <c r="O64" s="11" t="e">
        <f t="shared" ref="O64" si="85">(U64+AA64)/(U64+V64+AA64+AB64)</f>
        <v>#DIV/0!</v>
      </c>
      <c r="P64" s="11" t="e">
        <f t="shared" ref="P64" si="86">O64-N64</f>
        <v>#DIV/0!</v>
      </c>
      <c r="Q64" s="11">
        <f t="shared" ref="Q64" si="87">(R64+S64+U64+V64+X64+Y64+AA64+AB64)/(R64+S64+U64+V64+X64+Y64+AA64+AB64+W64+Z64+AC64+T64)</f>
        <v>9.6899224806201556E-2</v>
      </c>
      <c r="R64">
        <v>0</v>
      </c>
      <c r="S64">
        <v>25</v>
      </c>
      <c r="T64">
        <v>233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</v>
      </c>
      <c r="AE64">
        <v>111</v>
      </c>
      <c r="AF64">
        <v>4</v>
      </c>
    </row>
    <row r="65" spans="1:32">
      <c r="A65" s="13">
        <v>45668</v>
      </c>
      <c r="B65" s="2" t="s">
        <v>28</v>
      </c>
    </row>
    <row r="66" spans="1:32" ht="29.25">
      <c r="A66" s="13">
        <v>45669</v>
      </c>
      <c r="B66" s="2" t="s">
        <v>29</v>
      </c>
      <c r="C66">
        <v>22</v>
      </c>
      <c r="D66" s="14">
        <f t="shared" si="51"/>
        <v>0.87649402390438247</v>
      </c>
      <c r="I66" s="16" t="s">
        <v>143</v>
      </c>
      <c r="J66" s="8">
        <v>0.16666666666666666</v>
      </c>
      <c r="L66" s="9">
        <v>300</v>
      </c>
      <c r="M66" s="11" t="e">
        <f>(N66+O66)/2</f>
        <v>#DIV/0!</v>
      </c>
      <c r="N66" s="11">
        <f t="shared" ref="N66" si="88">(R66+X66)/(R66+S66+X66+Y66)</f>
        <v>0.16666666666666666</v>
      </c>
      <c r="O66" s="11" t="e">
        <f t="shared" ref="O66" si="89">(U66+AA66)/(U66+V66+AA66+AB66)</f>
        <v>#DIV/0!</v>
      </c>
      <c r="P66" s="11" t="e">
        <f t="shared" ref="P66" si="90">O66-N66</f>
        <v>#DIV/0!</v>
      </c>
      <c r="Q66" s="11">
        <f t="shared" ref="Q66" si="91">(R66+S66+U66+V66+X66+Y66+AA66+AB66)/(R66+S66+U66+V66+X66+Y66+AA66+AB66+W66+Z66+AC66+T66)</f>
        <v>0.06</v>
      </c>
      <c r="R66">
        <v>3</v>
      </c>
      <c r="S66">
        <v>15</v>
      </c>
      <c r="T66">
        <v>282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19</v>
      </c>
      <c r="AE66">
        <v>184</v>
      </c>
      <c r="AF66">
        <v>4</v>
      </c>
    </row>
    <row r="67" spans="1:32">
      <c r="A67" s="13"/>
      <c r="B67" s="2"/>
      <c r="D67" s="14"/>
      <c r="I67" s="16"/>
      <c r="J67" s="1" t="s">
        <v>9</v>
      </c>
      <c r="K67" s="1" t="s">
        <v>10</v>
      </c>
      <c r="L67" s="2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</row>
    <row r="68" spans="1:32" ht="24" customHeight="1">
      <c r="A68" s="13">
        <v>45670</v>
      </c>
      <c r="B68" s="2" t="s">
        <v>19</v>
      </c>
      <c r="C68">
        <v>20.9</v>
      </c>
      <c r="D68" s="14">
        <f t="shared" si="51"/>
        <v>0.83266932270916327</v>
      </c>
      <c r="I68" t="s">
        <v>144</v>
      </c>
      <c r="J68" s="8">
        <v>0.1736111111111111</v>
      </c>
      <c r="L68">
        <v>137</v>
      </c>
      <c r="N68">
        <v>338</v>
      </c>
      <c r="O68">
        <v>74</v>
      </c>
      <c r="P68">
        <v>137</v>
      </c>
      <c r="Q68">
        <v>0</v>
      </c>
    </row>
    <row r="69" spans="1:32">
      <c r="A69" s="13">
        <v>45671</v>
      </c>
      <c r="B69" s="2" t="s">
        <v>22</v>
      </c>
      <c r="C69">
        <v>20.8</v>
      </c>
      <c r="D69" s="14">
        <f t="shared" si="51"/>
        <v>0.82868525896414336</v>
      </c>
      <c r="I69" t="s">
        <v>144</v>
      </c>
      <c r="J69" s="8">
        <v>0.2013888888888889</v>
      </c>
      <c r="K69" s="8">
        <v>0.21319444444444444</v>
      </c>
      <c r="L69">
        <v>180</v>
      </c>
      <c r="N69">
        <v>294</v>
      </c>
      <c r="O69">
        <v>17</v>
      </c>
      <c r="P69">
        <v>180</v>
      </c>
      <c r="Q69">
        <v>0</v>
      </c>
    </row>
    <row r="70" spans="1:32" ht="29.25">
      <c r="A70" s="13">
        <v>45672</v>
      </c>
      <c r="B70" s="2" t="s">
        <v>24</v>
      </c>
      <c r="C70">
        <v>20.399999999999999</v>
      </c>
      <c r="D70" s="14">
        <f t="shared" si="51"/>
        <v>0.81274900398406369</v>
      </c>
      <c r="E70">
        <v>0.9</v>
      </c>
      <c r="F70" s="10">
        <f>(R70+U70+X70+AA70)*AF70/1000</f>
        <v>2.8000000000000001E-2</v>
      </c>
      <c r="G70" s="10">
        <f>E70+F70</f>
        <v>0.92800000000000005</v>
      </c>
      <c r="I70" s="16" t="s">
        <v>143</v>
      </c>
      <c r="J70" s="8">
        <v>0.1388888888888889</v>
      </c>
      <c r="K70" s="8">
        <v>0.17499999999999999</v>
      </c>
      <c r="L70">
        <v>300</v>
      </c>
      <c r="M70" s="11" t="e">
        <f>(N70+O70)/2</f>
        <v>#DIV/0!</v>
      </c>
      <c r="N70" s="11">
        <f t="shared" ref="N70" si="92">(R70+X70)/(R70+S70+X70+Y70)</f>
        <v>0.35</v>
      </c>
      <c r="O70" s="11" t="e">
        <f t="shared" ref="O70" si="93">(U70+AA70)/(U70+V70+AA70+AB70)</f>
        <v>#DIV/0!</v>
      </c>
      <c r="P70" s="11" t="e">
        <f t="shared" ref="P70" si="94">O70-N70</f>
        <v>#DIV/0!</v>
      </c>
      <c r="Q70" s="11">
        <f t="shared" ref="Q70" si="95">(R70+S70+U70+V70+X70+Y70+AA70+AB70)/(R70+S70+U70+V70+X70+Y70+AA70+AB70+W70+Z70+AC70+T70)</f>
        <v>6.6666666666666666E-2</v>
      </c>
      <c r="R70">
        <v>7</v>
      </c>
      <c r="S70">
        <v>13</v>
      </c>
      <c r="T70">
        <v>280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66</v>
      </c>
      <c r="AE70">
        <v>68</v>
      </c>
      <c r="AF70">
        <v>4</v>
      </c>
    </row>
    <row r="71" spans="1:32" ht="29.25">
      <c r="A71" s="13">
        <v>45673</v>
      </c>
      <c r="B71" s="2" t="s">
        <v>26</v>
      </c>
      <c r="C71">
        <v>20.5</v>
      </c>
      <c r="D71" s="14">
        <f t="shared" si="51"/>
        <v>0.81673306772908361</v>
      </c>
      <c r="F71" s="10">
        <f t="shared" ref="F71:F72" si="96">(R71+U71+X71+AA71)*AF71/1000</f>
        <v>9.1999999999999998E-2</v>
      </c>
      <c r="G71" s="10">
        <f t="shared" ref="G71:G72" si="97">E71+F71</f>
        <v>9.1999999999999998E-2</v>
      </c>
      <c r="I71" s="16" t="s">
        <v>143</v>
      </c>
      <c r="J71" s="8">
        <v>0.2361111111111111</v>
      </c>
      <c r="L71">
        <v>300</v>
      </c>
      <c r="M71" s="11" t="e">
        <f>(N71+O71)/2</f>
        <v>#DIV/0!</v>
      </c>
      <c r="N71" s="11">
        <f t="shared" ref="N71" si="98">(R71+X71)/(R71+S71+X71+Y71)</f>
        <v>0.57499999999999996</v>
      </c>
      <c r="O71" s="11" t="e">
        <f t="shared" ref="O71" si="99">(U71+AA71)/(U71+V71+AA71+AB71)</f>
        <v>#DIV/0!</v>
      </c>
      <c r="P71" s="11" t="e">
        <f t="shared" ref="P71" si="100">O71-N71</f>
        <v>#DIV/0!</v>
      </c>
      <c r="Q71" s="11">
        <f t="shared" ref="Q71" si="101">(R71+S71+U71+V71+X71+Y71+AA71+AB71)/(R71+S71+U71+V71+X71+Y71+AA71+AB71+W71+Z71+AC71+T71)</f>
        <v>0.13333333333333333</v>
      </c>
      <c r="R71">
        <v>23</v>
      </c>
      <c r="S71">
        <v>17</v>
      </c>
      <c r="T71">
        <v>260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138</v>
      </c>
      <c r="AE71">
        <v>83</v>
      </c>
      <c r="AF71">
        <v>4</v>
      </c>
    </row>
    <row r="72" spans="1:32" ht="29.25">
      <c r="A72" s="13">
        <v>45674</v>
      </c>
      <c r="B72" s="2" t="s">
        <v>27</v>
      </c>
      <c r="C72">
        <v>21</v>
      </c>
      <c r="D72" s="14">
        <f t="shared" si="51"/>
        <v>0.83665338645418319</v>
      </c>
      <c r="E72">
        <v>0.9</v>
      </c>
      <c r="F72" s="10">
        <f t="shared" si="96"/>
        <v>6.6000000000000003E-2</v>
      </c>
      <c r="G72" s="10">
        <f t="shared" si="97"/>
        <v>0.96599999999999997</v>
      </c>
      <c r="I72" s="16" t="s">
        <v>143</v>
      </c>
      <c r="J72" s="8">
        <v>0.1423611111111111</v>
      </c>
      <c r="K72" s="8">
        <v>0.17777777777777778</v>
      </c>
      <c r="L72">
        <v>300</v>
      </c>
      <c r="M72" s="11" t="e">
        <f>(N72+O72)/2</f>
        <v>#DIV/0!</v>
      </c>
      <c r="N72" s="11">
        <f t="shared" ref="N72" si="102">(R72+X72)/(R72+S72+X72+Y72)</f>
        <v>0.84615384615384615</v>
      </c>
      <c r="O72" s="11" t="e">
        <f t="shared" ref="O72" si="103">(U72+AA72)/(U72+V72+AA72+AB72)</f>
        <v>#DIV/0!</v>
      </c>
      <c r="P72" s="11" t="e">
        <f t="shared" ref="P72" si="104">O72-N72</f>
        <v>#DIV/0!</v>
      </c>
      <c r="Q72" s="11">
        <f t="shared" ref="Q72" si="105">(R72+S72+U72+V72+X72+Y72+AA72+AB72)/(R72+S72+U72+V72+X72+Y72+AA72+AB72+W72+Z72+AC72+T72)</f>
        <v>4.3333333333333335E-2</v>
      </c>
      <c r="R72">
        <v>11</v>
      </c>
      <c r="S72">
        <v>2</v>
      </c>
      <c r="T72">
        <v>287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48</v>
      </c>
      <c r="AE72">
        <v>13</v>
      </c>
      <c r="AF72">
        <v>6</v>
      </c>
    </row>
    <row r="73" spans="1:32">
      <c r="A73" s="13">
        <v>45675</v>
      </c>
      <c r="B73" s="2" t="s">
        <v>28</v>
      </c>
      <c r="C73">
        <v>21</v>
      </c>
      <c r="D73" s="14">
        <f t="shared" si="51"/>
        <v>0.83665338645418319</v>
      </c>
      <c r="E73">
        <v>1</v>
      </c>
    </row>
    <row r="74" spans="1:32">
      <c r="A74" s="13">
        <v>45676</v>
      </c>
      <c r="B74" s="2" t="s">
        <v>29</v>
      </c>
    </row>
    <row r="75" spans="1:32">
      <c r="A75" s="13">
        <v>45677</v>
      </c>
      <c r="B75" s="2" t="s">
        <v>19</v>
      </c>
      <c r="C75">
        <v>21.7</v>
      </c>
      <c r="D75" s="14">
        <f t="shared" si="51"/>
        <v>0.86454183266932261</v>
      </c>
      <c r="I75" s="16" t="s">
        <v>145</v>
      </c>
      <c r="J75" s="8">
        <v>0.32291666666666669</v>
      </c>
      <c r="L75">
        <v>300</v>
      </c>
      <c r="M75" s="11">
        <f>(N75+O75)/2</f>
        <v>0.51162790697674421</v>
      </c>
      <c r="N75" s="11">
        <f t="shared" ref="N75" si="106">(R75+X75)/(R75+S75+X75+Y75)</f>
        <v>2.3255813953488372E-2</v>
      </c>
      <c r="O75" s="11">
        <f t="shared" ref="O75" si="107">(U75+AA75)/(U75+V75+AA75+AB75)</f>
        <v>1</v>
      </c>
      <c r="P75" s="11">
        <f t="shared" ref="P75" si="108">O75-N75</f>
        <v>0.97674418604651159</v>
      </c>
      <c r="Q75" s="11">
        <f t="shared" ref="Q75" si="109">(R75+S75+U75+V75+X75+Y75+AA75+AB75)/(R75+S75+U75+V75+X75+Y75+AA75+AB75+W75+Z75+AC75+T75)</f>
        <v>0.24333333333333335</v>
      </c>
      <c r="R75">
        <v>1</v>
      </c>
      <c r="S75">
        <v>42</v>
      </c>
      <c r="T75">
        <v>227</v>
      </c>
      <c r="U75">
        <v>30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31</v>
      </c>
      <c r="AE75">
        <v>254</v>
      </c>
      <c r="AF75">
        <v>6</v>
      </c>
    </row>
    <row r="76" spans="1:32">
      <c r="A76" s="13">
        <v>45678</v>
      </c>
      <c r="B76" s="2" t="s">
        <v>22</v>
      </c>
      <c r="C76">
        <v>21.3</v>
      </c>
      <c r="D76" s="14">
        <f t="shared" si="51"/>
        <v>0.84860557768924305</v>
      </c>
      <c r="I76" s="16" t="s">
        <v>146</v>
      </c>
      <c r="J76" s="8">
        <v>9.375E-2</v>
      </c>
      <c r="L76">
        <v>300</v>
      </c>
      <c r="M76" s="11">
        <f>(N76+O76)/2</f>
        <v>0.78809523809523807</v>
      </c>
      <c r="N76" s="11">
        <f t="shared" ref="N76" si="110">(R76+X76)/(R76+S76+X76+Y76)</f>
        <v>0.6</v>
      </c>
      <c r="O76" s="11">
        <f t="shared" ref="O76" si="111">(U76+AA76)/(U76+V76+AA76+AB76)</f>
        <v>0.97619047619047616</v>
      </c>
      <c r="P76" s="11">
        <f t="shared" ref="P76" si="112">O76-N76</f>
        <v>0.37619047619047619</v>
      </c>
      <c r="Q76" s="11">
        <f t="shared" ref="Q76" si="113">(R76+S76+U76+V76+X76+Y76+AA76+AB76)/(R76+S76+U76+V76+X76+Y76+AA76+AB76+W76+Z76+AC76+T76)</f>
        <v>0.22333333333333333</v>
      </c>
      <c r="R76">
        <v>15</v>
      </c>
      <c r="S76">
        <v>10</v>
      </c>
      <c r="T76">
        <v>233</v>
      </c>
      <c r="U76">
        <v>41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136</v>
      </c>
      <c r="AE76">
        <v>124</v>
      </c>
      <c r="AF76">
        <v>6</v>
      </c>
    </row>
    <row r="77" spans="1:32">
      <c r="A77" s="13">
        <v>45679</v>
      </c>
      <c r="B77" s="2" t="s">
        <v>24</v>
      </c>
    </row>
    <row r="78" spans="1:32">
      <c r="A78" s="13">
        <v>45680</v>
      </c>
      <c r="B78" s="2" t="s">
        <v>26</v>
      </c>
    </row>
    <row r="79" spans="1:32">
      <c r="A79" s="13">
        <v>45681</v>
      </c>
      <c r="B79" s="2" t="s">
        <v>27</v>
      </c>
    </row>
    <row r="80" spans="1:32">
      <c r="A80" s="13">
        <v>45682</v>
      </c>
      <c r="B80" s="2" t="s">
        <v>28</v>
      </c>
    </row>
    <row r="81" spans="1:32">
      <c r="A81" s="13">
        <v>45683</v>
      </c>
      <c r="B81" s="2" t="s">
        <v>29</v>
      </c>
      <c r="C81">
        <v>22.1</v>
      </c>
      <c r="D81" s="14">
        <f t="shared" ref="D81:D83" si="114">C81/$C$2</f>
        <v>0.88047808764940239</v>
      </c>
      <c r="I81" s="16" t="s">
        <v>146</v>
      </c>
      <c r="J81" s="8">
        <v>0.3125</v>
      </c>
      <c r="L81">
        <v>300</v>
      </c>
      <c r="M81" s="11">
        <f>(N81+O81)/2</f>
        <v>0.80976013234077748</v>
      </c>
      <c r="N81" s="11">
        <f t="shared" ref="N81" si="115">(R81+X81)/(R81+S81+X81+Y81)</f>
        <v>0.64516129032258063</v>
      </c>
      <c r="O81" s="11">
        <f t="shared" ref="O81" si="116">(U81+AA81)/(U81+V81+AA81+AB81)</f>
        <v>0.97435897435897434</v>
      </c>
      <c r="P81" s="11">
        <f t="shared" ref="P81" si="117">O81-N81</f>
        <v>0.32919768403639371</v>
      </c>
      <c r="Q81" s="11">
        <f t="shared" ref="Q81" si="118">(R81+S81+U81+V81+X81+Y81+AA81+AB81)/(R81+S81+U81+V81+X81+Y81+AA81+AB81+W81+Z81+AC81+T81)</f>
        <v>0.33666666666666667</v>
      </c>
      <c r="R81">
        <v>40</v>
      </c>
      <c r="S81">
        <v>22</v>
      </c>
      <c r="T81">
        <v>196</v>
      </c>
      <c r="U81">
        <v>38</v>
      </c>
      <c r="V81">
        <v>1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693</v>
      </c>
      <c r="AE81">
        <v>413</v>
      </c>
      <c r="AF81">
        <v>6</v>
      </c>
    </row>
    <row r="82" spans="1:32">
      <c r="A82" s="13">
        <v>45684</v>
      </c>
      <c r="B82" s="2" t="s">
        <v>19</v>
      </c>
      <c r="C82">
        <v>21.7</v>
      </c>
      <c r="D82" s="14">
        <f t="shared" si="114"/>
        <v>0.86454183266932261</v>
      </c>
      <c r="I82" s="16" t="s">
        <v>146</v>
      </c>
      <c r="J82" s="8">
        <v>0.14583333333333334</v>
      </c>
      <c r="L82">
        <v>300</v>
      </c>
      <c r="M82" s="11">
        <f>(N82+O82)/2</f>
        <v>0.86005171299288952</v>
      </c>
      <c r="N82" s="11">
        <f t="shared" ref="N82" si="119">(R82+X82)/(R82+S82+X82+Y82)</f>
        <v>0.87394957983193278</v>
      </c>
      <c r="O82" s="11">
        <f t="shared" ref="O82" si="120">(U82+AA82)/(U82+V82+AA82+AB82)</f>
        <v>0.84615384615384615</v>
      </c>
      <c r="P82" s="11">
        <f t="shared" ref="P82" si="121">O82-N82</f>
        <v>-2.7795733678086632E-2</v>
      </c>
      <c r="Q82" s="11">
        <f t="shared" ref="Q82" si="122">(R82+S82+U82+V82+X82+Y82+AA82+AB82)/(R82+S82+U82+V82+X82+Y82+AA82+AB82+W82+Z82+AC82+T82)</f>
        <v>0.52666666666666662</v>
      </c>
      <c r="R82">
        <v>104</v>
      </c>
      <c r="S82">
        <v>15</v>
      </c>
      <c r="T82">
        <v>121</v>
      </c>
      <c r="U82">
        <v>33</v>
      </c>
      <c r="V82">
        <v>6</v>
      </c>
      <c r="W82">
        <v>21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2013</v>
      </c>
      <c r="AE82">
        <v>254</v>
      </c>
      <c r="AF82">
        <v>6</v>
      </c>
    </row>
    <row r="83" spans="1:32">
      <c r="A83" s="23">
        <v>45685</v>
      </c>
      <c r="B83" s="24" t="s">
        <v>22</v>
      </c>
      <c r="C83">
        <v>21.6</v>
      </c>
      <c r="D83" s="14">
        <f t="shared" si="114"/>
        <v>0.8605577689243028</v>
      </c>
      <c r="I83" s="16" t="s">
        <v>147</v>
      </c>
      <c r="J83" s="8">
        <v>0.11805555555555555</v>
      </c>
      <c r="L83">
        <v>300</v>
      </c>
      <c r="M83" s="11">
        <f>(N83+O83)/2</f>
        <v>0.96875</v>
      </c>
      <c r="N83" s="11">
        <f t="shared" ref="N83" si="123">(R83+X83)/(R83+S83+X83+Y83)</f>
        <v>0.9375</v>
      </c>
      <c r="O83" s="11">
        <f t="shared" ref="O83" si="124">(U83+AA83)/(U83+V83+AA83+AB83)</f>
        <v>1</v>
      </c>
      <c r="P83" s="11">
        <f t="shared" ref="P83" si="125">O83-N83</f>
        <v>6.25E-2</v>
      </c>
      <c r="Q83" s="11">
        <f t="shared" ref="Q83" si="126">(R83+S83+U83+V83+X83+Y83+AA83+AB83)/(R83+S83+U83+V83+X83+Y83+AA83+AB83+W83+Z83+AC83+T83)</f>
        <v>0.94444444444444442</v>
      </c>
      <c r="R83">
        <v>15</v>
      </c>
      <c r="S83">
        <v>1</v>
      </c>
      <c r="T83">
        <v>2</v>
      </c>
      <c r="U83">
        <v>18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355</v>
      </c>
      <c r="AE83">
        <v>105</v>
      </c>
      <c r="AF83">
        <v>6</v>
      </c>
    </row>
    <row r="84" spans="1:32">
      <c r="A84" s="23"/>
      <c r="B84" s="24"/>
      <c r="I84" s="16" t="s">
        <v>148</v>
      </c>
      <c r="L84">
        <v>300</v>
      </c>
      <c r="M84" s="11">
        <f>(N84+O84)/2</f>
        <v>0.8515625</v>
      </c>
      <c r="N84" s="11">
        <f t="shared" ref="N84:N85" si="127">(R84+X84)/(R84+S84+X84+Y84)</f>
        <v>0.703125</v>
      </c>
      <c r="O84" s="11">
        <f t="shared" ref="O84:O85" si="128">(U84+AA84)/(U84+V84+AA84+AB84)</f>
        <v>1</v>
      </c>
      <c r="P84" s="11">
        <f t="shared" ref="P84:P85" si="129">O84-N84</f>
        <v>0.296875</v>
      </c>
      <c r="Q84" s="11">
        <f t="shared" ref="Q84:Q85" si="130">(R84+S84+U84+V84+X84+Y84+AA84+AB84)/(R84+S84+U84+V84+X84+Y84+AA84+AB84+W84+Z84+AC84+T84)</f>
        <v>0.84967320261437906</v>
      </c>
      <c r="R84">
        <v>33</v>
      </c>
      <c r="S84">
        <v>10</v>
      </c>
      <c r="T84">
        <v>14</v>
      </c>
      <c r="U84">
        <v>44</v>
      </c>
      <c r="V84">
        <v>0</v>
      </c>
      <c r="W84">
        <v>2</v>
      </c>
      <c r="X84">
        <v>12</v>
      </c>
      <c r="Y84">
        <v>9</v>
      </c>
      <c r="Z84">
        <v>6</v>
      </c>
      <c r="AA84">
        <v>22</v>
      </c>
      <c r="AB84">
        <v>0</v>
      </c>
      <c r="AC84">
        <v>1</v>
      </c>
      <c r="AD84">
        <v>1346</v>
      </c>
      <c r="AE84">
        <v>364</v>
      </c>
      <c r="AF84">
        <v>6</v>
      </c>
    </row>
    <row r="85" spans="1:32">
      <c r="A85" s="23"/>
      <c r="B85" s="24"/>
      <c r="I85" s="16" t="s">
        <v>149</v>
      </c>
      <c r="L85">
        <v>300</v>
      </c>
      <c r="M85" s="11">
        <f>(N85+O85)/2</f>
        <v>0.56125000000000003</v>
      </c>
      <c r="N85" s="11">
        <f t="shared" si="127"/>
        <v>0.26250000000000001</v>
      </c>
      <c r="O85" s="11">
        <f t="shared" si="128"/>
        <v>0.86</v>
      </c>
      <c r="P85" s="11">
        <f t="shared" si="129"/>
        <v>0.59749999999999992</v>
      </c>
      <c r="Q85" s="11">
        <f t="shared" si="130"/>
        <v>0.71823204419889508</v>
      </c>
      <c r="R85">
        <v>15</v>
      </c>
      <c r="S85">
        <v>38</v>
      </c>
      <c r="T85">
        <v>20</v>
      </c>
      <c r="U85">
        <v>27</v>
      </c>
      <c r="V85">
        <v>6</v>
      </c>
      <c r="W85">
        <v>15</v>
      </c>
      <c r="X85">
        <v>6</v>
      </c>
      <c r="Y85">
        <v>21</v>
      </c>
      <c r="Z85">
        <v>9</v>
      </c>
      <c r="AA85">
        <v>16</v>
      </c>
      <c r="AB85">
        <v>1</v>
      </c>
      <c r="AC85">
        <v>7</v>
      </c>
      <c r="AD85">
        <v>373</v>
      </c>
      <c r="AE85">
        <v>227</v>
      </c>
      <c r="AF85">
        <v>6</v>
      </c>
    </row>
    <row r="86" spans="1:32">
      <c r="A86" s="23">
        <v>45686</v>
      </c>
      <c r="B86" s="24" t="s">
        <v>24</v>
      </c>
      <c r="C86">
        <v>22</v>
      </c>
      <c r="D86" s="14">
        <f t="shared" ref="D86" si="131">C86/$C$2</f>
        <v>0.87649402390438247</v>
      </c>
      <c r="I86" s="16" t="s">
        <v>149</v>
      </c>
      <c r="J86" s="8">
        <v>0.18402777777777779</v>
      </c>
      <c r="L86">
        <v>270</v>
      </c>
      <c r="M86" s="11">
        <f>(N86+O86)/2</f>
        <v>0.5359316140249204</v>
      </c>
      <c r="N86" s="11">
        <f t="shared" ref="N86" si="132">(R86+X86)/(R86+S86+X86+Y86)</f>
        <v>0.55462184873949583</v>
      </c>
      <c r="O86" s="11">
        <f t="shared" ref="O86" si="133">(U86+AA86)/(U86+V86+AA86+AB86)</f>
        <v>0.51724137931034486</v>
      </c>
      <c r="P86" s="11">
        <f t="shared" ref="P86" si="134">O86-N86</f>
        <v>-3.7380469429150964E-2</v>
      </c>
      <c r="Q86" s="11">
        <f t="shared" ref="Q86" si="135">(R86+S86+U86+V86+X86+Y86+AA86+AB86)/(R86+S86+U86+V86+X86+Y86+AA86+AB86+W86+Z86+AC86+T86)</f>
        <v>0.87686567164179108</v>
      </c>
      <c r="R86">
        <v>61</v>
      </c>
      <c r="S86">
        <v>42</v>
      </c>
      <c r="T86">
        <v>20</v>
      </c>
      <c r="U86">
        <v>55</v>
      </c>
      <c r="V86">
        <v>52</v>
      </c>
      <c r="W86">
        <v>11</v>
      </c>
      <c r="X86">
        <v>5</v>
      </c>
      <c r="Y86">
        <v>11</v>
      </c>
      <c r="Z86">
        <v>2</v>
      </c>
      <c r="AA86">
        <v>5</v>
      </c>
      <c r="AB86">
        <v>4</v>
      </c>
      <c r="AC86">
        <v>0</v>
      </c>
      <c r="AD86">
        <v>1017</v>
      </c>
      <c r="AE86">
        <v>431</v>
      </c>
      <c r="AF86">
        <v>6</v>
      </c>
    </row>
    <row r="87" spans="1:32">
      <c r="A87" s="23"/>
      <c r="B87" s="24"/>
      <c r="D87" s="14"/>
      <c r="I87" s="16" t="s">
        <v>150</v>
      </c>
      <c r="J87" s="8"/>
      <c r="L87">
        <v>270</v>
      </c>
      <c r="M87" s="11">
        <f>(N87+O87)/2</f>
        <v>0.64056795131845834</v>
      </c>
      <c r="N87" s="11">
        <f t="shared" ref="N87" si="136">(R87+X87)/(R87+S87+X87+Y87)</f>
        <v>0.72941176470588232</v>
      </c>
      <c r="O87" s="11">
        <f t="shared" ref="O87" si="137">(U87+AA87)/(U87+V87+AA87+AB87)</f>
        <v>0.55172413793103448</v>
      </c>
      <c r="P87" s="11">
        <f t="shared" ref="P87" si="138">O87-N87</f>
        <v>-0.17768762677484784</v>
      </c>
      <c r="Q87" s="11">
        <f t="shared" ref="Q87" si="139">(R87+S87+U87+V87+X87+Y87+AA87+AB87)/(R87+S87+U87+V87+X87+Y87+AA87+AB87+W87+Z87+AC87+T87)</f>
        <v>0.86</v>
      </c>
      <c r="R87">
        <v>41</v>
      </c>
      <c r="S87">
        <v>15</v>
      </c>
      <c r="T87">
        <v>11</v>
      </c>
      <c r="U87">
        <v>30</v>
      </c>
      <c r="V87">
        <v>30</v>
      </c>
      <c r="W87">
        <v>6</v>
      </c>
      <c r="X87">
        <v>21</v>
      </c>
      <c r="Y87">
        <v>8</v>
      </c>
      <c r="Z87">
        <v>4</v>
      </c>
      <c r="AA87">
        <v>18</v>
      </c>
      <c r="AB87">
        <v>9</v>
      </c>
      <c r="AC87">
        <v>7</v>
      </c>
      <c r="AD87">
        <v>355</v>
      </c>
      <c r="AE87">
        <v>267</v>
      </c>
      <c r="AF87">
        <v>6</v>
      </c>
    </row>
    <row r="88" spans="1:32">
      <c r="A88" s="13">
        <v>45687</v>
      </c>
      <c r="B88" s="2" t="s">
        <v>26</v>
      </c>
    </row>
    <row r="89" spans="1:32">
      <c r="A89" s="13"/>
      <c r="B89" s="2"/>
    </row>
    <row r="90" spans="1:32">
      <c r="A90" s="13">
        <v>45688</v>
      </c>
    </row>
  </sheetData>
  <mergeCells count="4">
    <mergeCell ref="A83:A85"/>
    <mergeCell ref="B83:B85"/>
    <mergeCell ref="A86:A87"/>
    <mergeCell ref="B86:B8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D542-43E0-47E5-82F5-43D5E2ABA544}">
  <dimension ref="E6:AH62"/>
  <sheetViews>
    <sheetView tabSelected="1" topLeftCell="C1" workbookViewId="0">
      <selection activeCell="Y6" sqref="Y6:Y22"/>
    </sheetView>
  </sheetViews>
  <sheetFormatPr defaultRowHeight="15"/>
  <sheetData>
    <row r="6" spans="5:34" ht="29.25">
      <c r="E6" s="1" t="s">
        <v>151</v>
      </c>
      <c r="F6" s="2" t="s">
        <v>67</v>
      </c>
      <c r="G6" s="1" t="s">
        <v>68</v>
      </c>
      <c r="H6" s="1" t="s">
        <v>69</v>
      </c>
      <c r="I6" s="1" t="s">
        <v>70</v>
      </c>
      <c r="J6" s="1" t="s">
        <v>71</v>
      </c>
      <c r="K6" s="2" t="s">
        <v>72</v>
      </c>
      <c r="L6" s="2" t="s">
        <v>73</v>
      </c>
      <c r="M6" s="2" t="s">
        <v>74</v>
      </c>
      <c r="N6" s="2" t="s">
        <v>75</v>
      </c>
      <c r="O6" s="2" t="s">
        <v>76</v>
      </c>
      <c r="P6" s="2" t="s">
        <v>77</v>
      </c>
      <c r="Q6" s="2" t="s">
        <v>72</v>
      </c>
      <c r="R6" s="2" t="s">
        <v>73</v>
      </c>
      <c r="S6" s="2" t="s">
        <v>74</v>
      </c>
      <c r="T6" s="2" t="s">
        <v>75</v>
      </c>
      <c r="U6" s="2" t="s">
        <v>76</v>
      </c>
      <c r="V6" s="2" t="s">
        <v>77</v>
      </c>
      <c r="Y6">
        <v>0.56180733162830343</v>
      </c>
    </row>
    <row r="7" spans="5:34">
      <c r="E7" t="s">
        <v>110</v>
      </c>
      <c r="F7" s="11">
        <f>(G7+H7)/2</f>
        <v>0.56180733162830343</v>
      </c>
      <c r="G7" s="11">
        <f>(K7+Q7)/(K7+L7+Q7+R7)</f>
        <v>0.52941176470588236</v>
      </c>
      <c r="H7" s="11">
        <f>(N7+T7)/(N7+O7+T7+U7)</f>
        <v>0.59420289855072461</v>
      </c>
      <c r="I7" s="11">
        <f t="shared" ref="I7:I10" si="0">H7-G7</f>
        <v>6.4791133844842252E-2</v>
      </c>
      <c r="J7" s="11">
        <f t="shared" ref="J7:J10" si="1">(K7+L7+N7+O7+Q7+R7+T7+U7)/(K7+L7+N7+O7+Q7+R7+T7+U7+P7+S7+V7+M7)</f>
        <v>0.63720930232558137</v>
      </c>
      <c r="K7">
        <v>36</v>
      </c>
      <c r="L7">
        <v>32</v>
      </c>
      <c r="M7">
        <v>39</v>
      </c>
      <c r="N7">
        <v>41</v>
      </c>
      <c r="O7">
        <v>28</v>
      </c>
      <c r="P7">
        <v>39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0.55312499999999998</v>
      </c>
    </row>
    <row r="8" spans="5:34">
      <c r="E8" t="s">
        <v>110</v>
      </c>
      <c r="F8" s="11">
        <f>(G8+H8)/2</f>
        <v>0.55312499999999998</v>
      </c>
      <c r="G8" s="11">
        <f t="shared" ref="G8:G14" si="2">(K8+Q8)/(K8+L8+Q8+R8)</f>
        <v>0.59375</v>
      </c>
      <c r="H8" s="11">
        <f t="shared" ref="H8:H14" si="3">(N8+T8)/(N8+O8+T8+U8)</f>
        <v>0.51249999999999996</v>
      </c>
      <c r="I8" s="11">
        <f t="shared" si="0"/>
        <v>-8.1250000000000044E-2</v>
      </c>
      <c r="J8" s="11">
        <f t="shared" si="1"/>
        <v>0.58666666666666667</v>
      </c>
      <c r="K8">
        <v>51</v>
      </c>
      <c r="L8">
        <v>37</v>
      </c>
      <c r="M8">
        <v>48</v>
      </c>
      <c r="N8">
        <v>34</v>
      </c>
      <c r="O8">
        <v>33</v>
      </c>
      <c r="P8">
        <v>69</v>
      </c>
      <c r="Q8">
        <v>6</v>
      </c>
      <c r="R8">
        <v>2</v>
      </c>
      <c r="S8">
        <v>5</v>
      </c>
      <c r="T8">
        <v>7</v>
      </c>
      <c r="U8">
        <v>6</v>
      </c>
      <c r="V8">
        <v>2</v>
      </c>
      <c r="Y8">
        <v>0.47895480225988701</v>
      </c>
    </row>
    <row r="9" spans="5:34">
      <c r="E9" t="s">
        <v>110</v>
      </c>
      <c r="F9" s="11">
        <f>(G9+H9)/2</f>
        <v>0.47895480225988701</v>
      </c>
      <c r="G9" s="11">
        <f t="shared" si="2"/>
        <v>0.48333333333333334</v>
      </c>
      <c r="H9" s="11">
        <f t="shared" si="3"/>
        <v>0.47457627118644069</v>
      </c>
      <c r="I9" s="11">
        <f t="shared" si="0"/>
        <v>-8.7570621468926468E-3</v>
      </c>
      <c r="J9" s="11">
        <f t="shared" si="1"/>
        <v>0.79333333333333333</v>
      </c>
      <c r="K9">
        <v>57</v>
      </c>
      <c r="L9">
        <v>61</v>
      </c>
      <c r="M9">
        <v>27</v>
      </c>
      <c r="N9">
        <v>54</v>
      </c>
      <c r="O9">
        <v>60</v>
      </c>
      <c r="P9">
        <v>33</v>
      </c>
      <c r="Q9">
        <v>1</v>
      </c>
      <c r="R9">
        <v>1</v>
      </c>
      <c r="S9">
        <v>0</v>
      </c>
      <c r="T9">
        <v>2</v>
      </c>
      <c r="U9">
        <v>2</v>
      </c>
      <c r="V9">
        <v>2</v>
      </c>
      <c r="Y9">
        <v>0.55602240896358546</v>
      </c>
    </row>
    <row r="10" spans="5:34">
      <c r="E10" t="s">
        <v>110</v>
      </c>
      <c r="F10" s="11">
        <f>(G10+H10)/2</f>
        <v>0.55602240896358546</v>
      </c>
      <c r="G10" s="11">
        <f t="shared" si="2"/>
        <v>0.90196078431372551</v>
      </c>
      <c r="H10" s="11">
        <f t="shared" si="3"/>
        <v>0.21008403361344538</v>
      </c>
      <c r="I10" s="11">
        <f t="shared" si="0"/>
        <v>-0.6918767507002801</v>
      </c>
      <c r="J10" s="11">
        <f t="shared" si="1"/>
        <v>0.56666666666666665</v>
      </c>
      <c r="K10">
        <v>46</v>
      </c>
      <c r="L10">
        <v>5</v>
      </c>
      <c r="M10">
        <v>29</v>
      </c>
      <c r="N10">
        <v>18</v>
      </c>
      <c r="O10">
        <v>50</v>
      </c>
      <c r="P10">
        <v>41</v>
      </c>
      <c r="Q10">
        <v>0</v>
      </c>
      <c r="R10">
        <v>0</v>
      </c>
      <c r="S10">
        <v>0</v>
      </c>
      <c r="T10">
        <v>7</v>
      </c>
      <c r="U10">
        <v>44</v>
      </c>
      <c r="V10">
        <v>60</v>
      </c>
    </row>
    <row r="11" spans="5:34">
      <c r="E11" t="s">
        <v>113</v>
      </c>
      <c r="G11" s="11"/>
      <c r="H11" s="11"/>
    </row>
    <row r="12" spans="5:34">
      <c r="E12" t="s">
        <v>113</v>
      </c>
      <c r="G12" s="11"/>
      <c r="H12" s="11"/>
      <c r="Y12">
        <v>0.57091346153846156</v>
      </c>
    </row>
    <row r="13" spans="5:34">
      <c r="E13" t="s">
        <v>110</v>
      </c>
      <c r="F13" s="11">
        <f>(G13+H13)/2</f>
        <v>0.57091346153846156</v>
      </c>
      <c r="G13" s="11">
        <f t="shared" si="2"/>
        <v>0.96875</v>
      </c>
      <c r="H13" s="11">
        <f t="shared" si="3"/>
        <v>0.17307692307692307</v>
      </c>
      <c r="I13" s="11">
        <f t="shared" ref="I13:I14" si="4">H13-G13</f>
        <v>-0.79567307692307687</v>
      </c>
      <c r="J13" s="11">
        <f t="shared" ref="J13:J14" si="5">(K13+L13+N13+O13+Q13+R13+T13+U13)/(K13+L13+N13+O13+Q13+R13+T13+U13+P13+S13+V13+M13)</f>
        <v>0.38666666666666666</v>
      </c>
      <c r="K13">
        <v>62</v>
      </c>
      <c r="L13">
        <v>2</v>
      </c>
      <c r="M13">
        <v>47</v>
      </c>
      <c r="N13">
        <v>8</v>
      </c>
      <c r="O13">
        <v>37</v>
      </c>
      <c r="P13">
        <v>85</v>
      </c>
      <c r="Q13">
        <v>0</v>
      </c>
      <c r="R13">
        <v>0</v>
      </c>
      <c r="S13">
        <v>0</v>
      </c>
      <c r="T13">
        <v>1</v>
      </c>
      <c r="U13">
        <v>6</v>
      </c>
      <c r="V13">
        <v>52</v>
      </c>
      <c r="Y13">
        <v>0.79166666666666674</v>
      </c>
    </row>
    <row r="14" spans="5:34">
      <c r="E14" t="s">
        <v>110</v>
      </c>
      <c r="F14" s="11">
        <f>(G14+H14)/2</f>
        <v>0.79166666666666674</v>
      </c>
      <c r="G14" s="11">
        <f t="shared" si="2"/>
        <v>1</v>
      </c>
      <c r="H14" s="11">
        <f t="shared" si="3"/>
        <v>0.58333333333333337</v>
      </c>
      <c r="I14" s="11">
        <f t="shared" si="4"/>
        <v>-0.41666666666666663</v>
      </c>
      <c r="J14" s="11">
        <f t="shared" si="5"/>
        <v>0.36140350877192984</v>
      </c>
      <c r="K14">
        <v>43</v>
      </c>
      <c r="L14">
        <v>0</v>
      </c>
      <c r="M14">
        <v>8</v>
      </c>
      <c r="N14">
        <v>18</v>
      </c>
      <c r="O14">
        <v>20</v>
      </c>
      <c r="P14">
        <v>57</v>
      </c>
      <c r="Q14">
        <v>0</v>
      </c>
      <c r="R14">
        <v>0</v>
      </c>
      <c r="S14">
        <v>0</v>
      </c>
      <c r="T14">
        <v>17</v>
      </c>
      <c r="U14">
        <v>5</v>
      </c>
      <c r="V14">
        <v>117</v>
      </c>
    </row>
    <row r="15" spans="5:34" ht="29.25">
      <c r="E15" s="1" t="s">
        <v>8</v>
      </c>
      <c r="F15" s="2" t="s">
        <v>67</v>
      </c>
      <c r="G15" s="1" t="s">
        <v>68</v>
      </c>
      <c r="H15" s="1" t="s">
        <v>69</v>
      </c>
      <c r="I15" s="1" t="s">
        <v>70</v>
      </c>
      <c r="J15" s="1" t="s">
        <v>71</v>
      </c>
      <c r="K15" s="2" t="s">
        <v>72</v>
      </c>
      <c r="L15" s="2" t="s">
        <v>73</v>
      </c>
      <c r="M15" s="2" t="s">
        <v>74</v>
      </c>
      <c r="N15" s="2" t="s">
        <v>75</v>
      </c>
      <c r="O15" s="2" t="s">
        <v>76</v>
      </c>
      <c r="P15" s="2" t="s">
        <v>77</v>
      </c>
      <c r="Y15">
        <v>0.81547619047619047</v>
      </c>
      <c r="AC15" s="2" t="s">
        <v>114</v>
      </c>
      <c r="AD15" s="2" t="s">
        <v>73</v>
      </c>
      <c r="AE15" s="2" t="s">
        <v>74</v>
      </c>
      <c r="AF15" s="2" t="s">
        <v>75</v>
      </c>
      <c r="AG15" s="2" t="s">
        <v>76</v>
      </c>
      <c r="AH15" s="2" t="s">
        <v>77</v>
      </c>
    </row>
    <row r="16" spans="5:34">
      <c r="E16" t="s">
        <v>123</v>
      </c>
      <c r="F16" s="11">
        <f>(G16+H16)/2</f>
        <v>0.81547619047619047</v>
      </c>
      <c r="G16" s="11">
        <f>(K16+AC16)/(K16+L16+AC16+AD16)</f>
        <v>1</v>
      </c>
      <c r="H16" s="11">
        <f>(N16+AF16)/(N16+O16+AF16+AG16)</f>
        <v>0.63095238095238093</v>
      </c>
      <c r="I16" s="11">
        <f t="shared" ref="I16:I19" si="6">H16-G16</f>
        <v>-0.36904761904761907</v>
      </c>
      <c r="J16" s="11">
        <f>(K16+L16+N16+O16+AC16+AD16+AF16+AG16)/(K16+L16+N16+O16+AC16+AD16+AF16+AG16+P16+AE16+AH16+M16)</f>
        <v>0.70119521912350602</v>
      </c>
      <c r="K16">
        <f>37+18</f>
        <v>55</v>
      </c>
      <c r="L16">
        <v>0</v>
      </c>
      <c r="M16">
        <v>0</v>
      </c>
      <c r="N16">
        <v>37</v>
      </c>
      <c r="O16">
        <v>24</v>
      </c>
      <c r="P16">
        <v>62</v>
      </c>
      <c r="Y16">
        <v>0.80303030303030298</v>
      </c>
      <c r="AC16">
        <v>37</v>
      </c>
      <c r="AD16">
        <v>0</v>
      </c>
      <c r="AE16">
        <v>0</v>
      </c>
      <c r="AF16">
        <v>16</v>
      </c>
      <c r="AG16">
        <v>7</v>
      </c>
      <c r="AH16">
        <v>13</v>
      </c>
    </row>
    <row r="17" spans="5:34">
      <c r="E17" t="s">
        <v>123</v>
      </c>
      <c r="F17" s="11">
        <f>(G17+H17)/2</f>
        <v>0.80303030303030298</v>
      </c>
      <c r="G17" s="11">
        <f>(K17+AC17)/(K17+L17+AC17+AD17)</f>
        <v>1</v>
      </c>
      <c r="H17" s="11">
        <f>(N17+AF17)/(N17+O17+AF17+AG17)</f>
        <v>0.60606060606060608</v>
      </c>
      <c r="I17" s="11">
        <f t="shared" si="6"/>
        <v>-0.39393939393939392</v>
      </c>
      <c r="J17" s="11">
        <f>(K17+L17+N17+O17+AC17+AD17+AF17+AG17)/(K17+L17+N17+O17+AC17+AD17+AF17+AG17+P17+AE17+AH17+M17)</f>
        <v>0.39</v>
      </c>
      <c r="K17">
        <f>37+18</f>
        <v>55</v>
      </c>
      <c r="L17">
        <v>0</v>
      </c>
      <c r="M17">
        <v>4</v>
      </c>
      <c r="N17">
        <v>11</v>
      </c>
      <c r="O17">
        <v>8</v>
      </c>
      <c r="P17">
        <f>82+41</f>
        <v>123</v>
      </c>
      <c r="Y17">
        <v>0.97972972972972983</v>
      </c>
      <c r="AC17">
        <v>29</v>
      </c>
      <c r="AD17">
        <v>0</v>
      </c>
      <c r="AE17">
        <v>0</v>
      </c>
      <c r="AF17">
        <v>9</v>
      </c>
      <c r="AG17">
        <v>5</v>
      </c>
      <c r="AH17">
        <f>38+18</f>
        <v>56</v>
      </c>
    </row>
    <row r="18" spans="5:34">
      <c r="E18" t="s">
        <v>123</v>
      </c>
      <c r="F18" s="11">
        <f>(G18+H18)/2</f>
        <v>0.97972972972972983</v>
      </c>
      <c r="G18" s="11">
        <f>(K18+AC18)/(K18+L18+AC18+AD18)</f>
        <v>0.98648648648648651</v>
      </c>
      <c r="H18" s="11">
        <f>(N18+AF18)/(N18+O18+AF18+AG18)</f>
        <v>0.97297297297297303</v>
      </c>
      <c r="I18" s="11">
        <f t="shared" si="6"/>
        <v>-1.3513513513513487E-2</v>
      </c>
      <c r="J18" s="11">
        <f>(K18+L18+N18+O18+AC18+AD18+AF18+AG18)/(K18+L18+N18+O18+AC18+AD18+AF18+AG18+P18+AE18+AH18+M18)</f>
        <v>0.37</v>
      </c>
      <c r="K18">
        <v>48</v>
      </c>
      <c r="L18">
        <v>0</v>
      </c>
      <c r="M18">
        <v>4</v>
      </c>
      <c r="N18">
        <v>17</v>
      </c>
      <c r="O18">
        <v>0</v>
      </c>
      <c r="P18">
        <v>131</v>
      </c>
      <c r="Y18">
        <v>0.98529411764705888</v>
      </c>
      <c r="AC18">
        <v>25</v>
      </c>
      <c r="AD18">
        <v>1</v>
      </c>
      <c r="AE18">
        <v>0</v>
      </c>
      <c r="AF18">
        <v>19</v>
      </c>
      <c r="AG18">
        <v>1</v>
      </c>
      <c r="AH18">
        <v>54</v>
      </c>
    </row>
    <row r="19" spans="5:34">
      <c r="E19" t="s">
        <v>127</v>
      </c>
      <c r="F19" s="11">
        <f>(G19+H19)/2</f>
        <v>0.98529411764705888</v>
      </c>
      <c r="G19" s="11">
        <f>(K19+AC19)/(K19+L19+AC19+AD19)</f>
        <v>1</v>
      </c>
      <c r="H19" s="11">
        <f>(N19+AF19)/(N19+O19+AF19+AG19)</f>
        <v>0.97058823529411764</v>
      </c>
      <c r="I19" s="11">
        <f t="shared" si="6"/>
        <v>-2.9411764705882359E-2</v>
      </c>
      <c r="J19" s="11">
        <f>(K19+L19+N19+O19+AC19+AD19+AF19+AG19)/(K19+L19+N19+O19+AC19+AD19+AF19+AG19+P19+AE19+AH19+M19)</f>
        <v>0.53</v>
      </c>
      <c r="K19">
        <v>59</v>
      </c>
      <c r="L19">
        <v>0</v>
      </c>
      <c r="M19">
        <v>5</v>
      </c>
      <c r="N19">
        <v>39</v>
      </c>
      <c r="O19">
        <v>2</v>
      </c>
      <c r="P19">
        <v>95</v>
      </c>
      <c r="AC19">
        <v>32</v>
      </c>
      <c r="AD19">
        <v>0</v>
      </c>
      <c r="AE19">
        <v>0</v>
      </c>
      <c r="AF19">
        <v>27</v>
      </c>
      <c r="AG19">
        <v>0</v>
      </c>
      <c r="AH19">
        <v>41</v>
      </c>
    </row>
    <row r="20" spans="5:34">
      <c r="E20" t="s">
        <v>113</v>
      </c>
      <c r="Y20">
        <v>0.95660358160358161</v>
      </c>
    </row>
    <row r="21" spans="5:34">
      <c r="E21" t="s">
        <v>129</v>
      </c>
      <c r="F21" s="11">
        <f>(G21+H21)/2</f>
        <v>0.95660358160358161</v>
      </c>
      <c r="G21" s="11">
        <f>(K21+AC21)/(K21+L21+AC21+AD21)</f>
        <v>0.93518518518518523</v>
      </c>
      <c r="H21" s="11">
        <f>(N21+AF21)/(N21+O21+AF21+AG21)</f>
        <v>0.97802197802197799</v>
      </c>
      <c r="I21" s="11">
        <f t="shared" ref="I21:I25" si="7">H21-G21</f>
        <v>4.2836792836792759E-2</v>
      </c>
      <c r="J21" s="11">
        <f>(K21+L21+N21+O21+AC21+AD21+AF21+AG21)/(K21+L21+N21+O21+AC21+AD21+AF21+AG21+P21+AE21+AH21+M21)</f>
        <v>0.66333333333333333</v>
      </c>
      <c r="K21">
        <v>73</v>
      </c>
      <c r="L21">
        <v>2</v>
      </c>
      <c r="M21">
        <v>17</v>
      </c>
      <c r="N21">
        <v>67</v>
      </c>
      <c r="O21">
        <v>1</v>
      </c>
      <c r="P21">
        <v>40</v>
      </c>
      <c r="Y21">
        <v>0.93001089324618735</v>
      </c>
      <c r="AC21">
        <v>28</v>
      </c>
      <c r="AD21">
        <v>5</v>
      </c>
      <c r="AE21">
        <v>13</v>
      </c>
      <c r="AF21">
        <v>22</v>
      </c>
      <c r="AG21">
        <v>1</v>
      </c>
      <c r="AH21">
        <v>31</v>
      </c>
    </row>
    <row r="22" spans="5:34">
      <c r="E22" t="s">
        <v>127</v>
      </c>
      <c r="F22" s="11">
        <f>(G22+H22)/2</f>
        <v>0.93001089324618735</v>
      </c>
      <c r="G22" s="11">
        <f>(K22+AC22)/(K22+L22+AC22+AD22)</f>
        <v>0.87962962962962965</v>
      </c>
      <c r="H22" s="11">
        <f>(N22+AF22)/(N22+O22+AF22+AG22)</f>
        <v>0.98039215686274506</v>
      </c>
      <c r="I22" s="11">
        <f t="shared" si="7"/>
        <v>0.10076252723311541</v>
      </c>
      <c r="J22" s="11">
        <f>(K22+L22+N22+O22+AC22+AD22+AF22+AG22)/(K22+L22+N22+O22+AC22+AD22+AF22+AG22+P22+AE22+AH22+M22)</f>
        <v>0.7</v>
      </c>
      <c r="K22">
        <v>63</v>
      </c>
      <c r="L22">
        <v>10</v>
      </c>
      <c r="M22">
        <v>29</v>
      </c>
      <c r="N22">
        <v>66</v>
      </c>
      <c r="O22">
        <v>0</v>
      </c>
      <c r="P22">
        <v>32</v>
      </c>
      <c r="Y22">
        <v>0.90889492175023956</v>
      </c>
      <c r="AC22">
        <v>32</v>
      </c>
      <c r="AD22">
        <v>3</v>
      </c>
      <c r="AE22">
        <v>16</v>
      </c>
      <c r="AF22">
        <v>34</v>
      </c>
      <c r="AG22">
        <v>2</v>
      </c>
      <c r="AH22">
        <v>13</v>
      </c>
    </row>
    <row r="23" spans="5:34">
      <c r="E23" t="s">
        <v>129</v>
      </c>
      <c r="F23" s="11">
        <f>(G23+H23)/2</f>
        <v>0.90889492175023956</v>
      </c>
      <c r="G23" s="11">
        <f>(K23+AC23)/(K23+L23+AC23+AD23)</f>
        <v>0.93069306930693074</v>
      </c>
      <c r="H23" s="11">
        <f>(N23+AF23)/(N23+O23+AF23+AG23)</f>
        <v>0.88709677419354838</v>
      </c>
      <c r="I23" s="11">
        <f t="shared" si="7"/>
        <v>-4.3596295113382366E-2</v>
      </c>
      <c r="J23" s="11">
        <f>(K23+L23+N23+O23+AC23+AD23+AF23+AG23)/(K23+L23+N23+O23+AC23+AD23+AF23+AG23+P23+AE23+AH23+M23)</f>
        <v>0.54333333333333333</v>
      </c>
      <c r="K23">
        <v>68</v>
      </c>
      <c r="L23">
        <v>6</v>
      </c>
      <c r="M23">
        <v>22</v>
      </c>
      <c r="N23">
        <v>37</v>
      </c>
      <c r="O23">
        <v>5</v>
      </c>
      <c r="P23">
        <v>62</v>
      </c>
      <c r="AC23">
        <v>26</v>
      </c>
      <c r="AD23">
        <v>1</v>
      </c>
      <c r="AE23">
        <v>21</v>
      </c>
      <c r="AF23">
        <v>18</v>
      </c>
      <c r="AG23">
        <v>2</v>
      </c>
      <c r="AH23">
        <v>32</v>
      </c>
    </row>
    <row r="24" spans="5:34">
      <c r="E24" t="s">
        <v>132</v>
      </c>
      <c r="F24" s="11">
        <f>(G24+H24)/2</f>
        <v>0.43055848261327712</v>
      </c>
      <c r="G24" s="11">
        <f>(K24+AC24)/(K24+L24+AC24+AD24)</f>
        <v>0.1076923076923077</v>
      </c>
      <c r="H24" s="11">
        <f>(N24+AF24)/(N24+O24+AF24+AG24)</f>
        <v>0.75342465753424659</v>
      </c>
      <c r="I24" s="11">
        <f t="shared" si="7"/>
        <v>0.64573234984193895</v>
      </c>
      <c r="J24" s="11">
        <f>(K24+L24+N24+O24+AC24+AD24+AF24+AG24)/(K24+L24+N24+O24+AC24+AD24+AF24+AG24+P24+AE24+AH24+M24)</f>
        <v>0.5092250922509225</v>
      </c>
      <c r="K24">
        <v>4</v>
      </c>
      <c r="L24">
        <v>37</v>
      </c>
      <c r="M24">
        <v>58</v>
      </c>
      <c r="N24">
        <v>38</v>
      </c>
      <c r="O24">
        <v>12</v>
      </c>
      <c r="P24">
        <v>33</v>
      </c>
      <c r="AC24">
        <v>3</v>
      </c>
      <c r="AD24">
        <v>21</v>
      </c>
      <c r="AE24">
        <v>24</v>
      </c>
      <c r="AF24">
        <v>17</v>
      </c>
      <c r="AG24">
        <v>6</v>
      </c>
      <c r="AH24">
        <v>18</v>
      </c>
    </row>
    <row r="25" spans="5:34">
      <c r="E25" t="s">
        <v>132</v>
      </c>
      <c r="F25" s="11">
        <f>(G25+H25)/2</f>
        <v>0.40708252111760884</v>
      </c>
      <c r="G25" s="11">
        <f>(K25+AC25)/(K25+L25+AC25+AD25)</f>
        <v>2.4691358024691357E-2</v>
      </c>
      <c r="H25" s="11">
        <f>(N25+AF25)/(N25+O25+AF25+AG25)</f>
        <v>0.78947368421052633</v>
      </c>
      <c r="I25" s="11">
        <f t="shared" si="7"/>
        <v>0.76478232618583497</v>
      </c>
      <c r="J25" s="11">
        <f>(K25+L25+N25+O25+AC25+AD25+AF25+AG25)/(K25+L25+N25+O25+AC25+AD25+AF25+AG25+P25+AE25+AH25+M25)</f>
        <v>0.58364312267657992</v>
      </c>
      <c r="K25">
        <v>1</v>
      </c>
      <c r="L25">
        <v>46</v>
      </c>
      <c r="M25">
        <v>64</v>
      </c>
      <c r="N25">
        <v>41</v>
      </c>
      <c r="O25">
        <v>11</v>
      </c>
      <c r="P25">
        <v>15</v>
      </c>
      <c r="AC25">
        <v>1</v>
      </c>
      <c r="AD25">
        <v>33</v>
      </c>
      <c r="AE25">
        <v>22</v>
      </c>
      <c r="AF25">
        <v>19</v>
      </c>
      <c r="AG25">
        <v>5</v>
      </c>
      <c r="AH25">
        <v>11</v>
      </c>
    </row>
    <row r="26" spans="5:34">
      <c r="E26" t="s">
        <v>133</v>
      </c>
    </row>
    <row r="27" spans="5:34">
      <c r="E27" t="s">
        <v>133</v>
      </c>
    </row>
    <row r="28" spans="5:34">
      <c r="E28" s="9" t="s">
        <v>132</v>
      </c>
      <c r="F28" s="11">
        <f>(G28+H28)/2</f>
        <v>0.34492635024549922</v>
      </c>
      <c r="G28" s="11">
        <f>(K28+AC28)/(K28+L28+AC28+AD28)</f>
        <v>0.11538461538461539</v>
      </c>
      <c r="H28" s="11">
        <f>(N28+AF28)/(N28+O28+AF28+AG28)</f>
        <v>0.57446808510638303</v>
      </c>
      <c r="I28" s="11">
        <f t="shared" ref="I28:I30" si="8">H28-G28</f>
        <v>0.45908346972176761</v>
      </c>
      <c r="J28" s="11">
        <f>(K28+L28+N28+O28+AC28+AD28+AF28+AG28)/(K28+L28+N28+O28+AC28+AD28+AF28+AG28+P28+AE28+AH28+M28)</f>
        <v>0.54074074074074074</v>
      </c>
      <c r="K28" s="9">
        <v>4</v>
      </c>
      <c r="L28" s="9">
        <v>28</v>
      </c>
      <c r="M28" s="9">
        <v>58</v>
      </c>
      <c r="N28" s="9">
        <v>38</v>
      </c>
      <c r="O28" s="9">
        <v>23</v>
      </c>
      <c r="P28" s="9">
        <v>29</v>
      </c>
      <c r="AC28" s="9">
        <v>2</v>
      </c>
      <c r="AD28" s="9">
        <v>18</v>
      </c>
      <c r="AE28" s="9">
        <v>25</v>
      </c>
      <c r="AF28" s="9">
        <v>16</v>
      </c>
      <c r="AG28" s="9">
        <v>17</v>
      </c>
      <c r="AH28" s="9">
        <v>12</v>
      </c>
    </row>
    <row r="29" spans="5:34">
      <c r="E29" s="9" t="s">
        <v>132</v>
      </c>
      <c r="F29" s="11">
        <f>(G29+H29)/2</f>
        <v>0.47887323943661969</v>
      </c>
      <c r="G29" s="11">
        <f>(K29+AC29)/(K29+L29+AC29+AD29)</f>
        <v>0</v>
      </c>
      <c r="H29" s="11">
        <f>(N29+AF29)/(N29+O29+AF29+AG29)</f>
        <v>0.95774647887323938</v>
      </c>
      <c r="I29" s="11">
        <f t="shared" si="8"/>
        <v>0.95774647887323938</v>
      </c>
      <c r="J29" s="11">
        <f>(K29+L29+N29+O29+AC29+AD29+AF29+AG29)/(K29+L29+N29+O29+AC29+AD29+AF29+AG29+P29+AE29+AH29+M29)</f>
        <v>0.4606741573033708</v>
      </c>
      <c r="K29">
        <v>0</v>
      </c>
      <c r="L29">
        <v>31</v>
      </c>
      <c r="M29">
        <v>82</v>
      </c>
      <c r="N29">
        <v>46</v>
      </c>
      <c r="O29">
        <v>2</v>
      </c>
      <c r="P29">
        <v>16</v>
      </c>
      <c r="AC29">
        <v>0</v>
      </c>
      <c r="AD29">
        <v>21</v>
      </c>
      <c r="AE29">
        <v>37</v>
      </c>
      <c r="AF29">
        <v>22</v>
      </c>
      <c r="AG29">
        <v>1</v>
      </c>
      <c r="AH29">
        <v>9</v>
      </c>
    </row>
    <row r="30" spans="5:34">
      <c r="E30" s="9" t="s">
        <v>132</v>
      </c>
      <c r="F30" s="11">
        <f>(G30+H30)/2</f>
        <v>0.5</v>
      </c>
      <c r="G30" s="11">
        <f>(K30+AC30)/(K30+L30+AC30+AD30)</f>
        <v>0</v>
      </c>
      <c r="H30" s="11">
        <f>(N30+AF30)/(N30+O30+AF30+AG30)</f>
        <v>1</v>
      </c>
      <c r="I30" s="11">
        <f t="shared" si="8"/>
        <v>1</v>
      </c>
      <c r="J30" s="11">
        <f>(K30+L30+N30+O30+AC30+AD30+AF30+AG30)/(K30+L30+N30+O30+AC30+AD30+AF30+AG30+P30+AE30+AH30+M30)</f>
        <v>0.55471698113207546</v>
      </c>
      <c r="K30">
        <v>0</v>
      </c>
      <c r="L30">
        <v>49</v>
      </c>
      <c r="M30">
        <v>86</v>
      </c>
      <c r="N30">
        <v>38</v>
      </c>
      <c r="O30">
        <v>0</v>
      </c>
      <c r="P30">
        <v>3</v>
      </c>
      <c r="AC30">
        <v>0</v>
      </c>
      <c r="AD30">
        <v>41</v>
      </c>
      <c r="AE30">
        <v>28</v>
      </c>
      <c r="AF30">
        <v>19</v>
      </c>
      <c r="AG30">
        <v>0</v>
      </c>
      <c r="AH30">
        <v>1</v>
      </c>
    </row>
    <row r="31" spans="5:34">
      <c r="E31" t="s">
        <v>104</v>
      </c>
      <c r="F31">
        <v>2049</v>
      </c>
      <c r="G31">
        <v>281</v>
      </c>
      <c r="H31">
        <v>652</v>
      </c>
      <c r="I31">
        <v>113</v>
      </c>
      <c r="J31">
        <v>114</v>
      </c>
    </row>
    <row r="32" spans="5:34" ht="115.5">
      <c r="E32" s="16" t="s">
        <v>138</v>
      </c>
      <c r="F32" s="11">
        <f>(G32+H32)/2</f>
        <v>0.54735051915503041</v>
      </c>
      <c r="G32" s="11">
        <f>(K32+AC32)/(K32+L32+AC32+AD32)</f>
        <v>0.11224489795918367</v>
      </c>
      <c r="H32" s="11">
        <f>(N32+AF32)/(N32+O32+AF32+AG32)</f>
        <v>0.98245614035087714</v>
      </c>
      <c r="I32" s="11">
        <f t="shared" ref="I32" si="9">H32-G32</f>
        <v>0.87021124239169345</v>
      </c>
      <c r="J32" s="11">
        <f>(K32+L32+N32+O32+AC32+AD32+AF32+AG32)/(K32+L32+N32+O32+AC32+AD32+AF32+AG32+P32+AE32+AH32+M32)</f>
        <v>0.58490566037735847</v>
      </c>
      <c r="K32">
        <v>6</v>
      </c>
      <c r="L32">
        <v>52</v>
      </c>
      <c r="M32">
        <v>77</v>
      </c>
      <c r="N32">
        <v>37</v>
      </c>
      <c r="O32">
        <v>0</v>
      </c>
      <c r="P32">
        <v>4</v>
      </c>
      <c r="AC32">
        <v>5</v>
      </c>
      <c r="AD32">
        <v>35</v>
      </c>
      <c r="AE32">
        <v>28</v>
      </c>
      <c r="AF32">
        <v>19</v>
      </c>
      <c r="AG32">
        <v>1</v>
      </c>
      <c r="AH32">
        <v>1</v>
      </c>
    </row>
    <row r="33" spans="5:22">
      <c r="E33" t="s">
        <v>133</v>
      </c>
    </row>
    <row r="34" spans="5:22">
      <c r="E34" t="s">
        <v>133</v>
      </c>
    </row>
    <row r="35" spans="5:22" ht="115.5">
      <c r="E35" s="16" t="s">
        <v>140</v>
      </c>
      <c r="F35" s="11">
        <f>(G35+H35)/2</f>
        <v>0.51470588235294112</v>
      </c>
      <c r="G35" s="11">
        <f t="shared" ref="G35:G39" si="10">(K35+Q35)/(K35+L35+Q35+R35)</f>
        <v>2.9411764705882353E-2</v>
      </c>
      <c r="H35" s="11">
        <f t="shared" ref="H35:H39" si="11">(N35+T35)/(N35+O35+T35+U35)</f>
        <v>1</v>
      </c>
      <c r="I35" s="11">
        <f t="shared" ref="I35:I39" si="12">H35-G35</f>
        <v>0.97058823529411764</v>
      </c>
      <c r="J35" s="11">
        <f t="shared" ref="J35:J39" si="13">(K35+L35+N35+O35+Q35+R35+T35+U35)/(K35+L35+N35+O35+Q35+R35+T35+U35+P35+S35+V35+M35)</f>
        <v>0.51879699248120303</v>
      </c>
      <c r="K35">
        <v>2</v>
      </c>
      <c r="L35">
        <v>34</v>
      </c>
      <c r="M35">
        <v>95</v>
      </c>
      <c r="N35">
        <v>46</v>
      </c>
      <c r="O35">
        <v>0</v>
      </c>
      <c r="P35">
        <v>0</v>
      </c>
      <c r="Q35">
        <v>0</v>
      </c>
      <c r="R35">
        <v>32</v>
      </c>
      <c r="S35">
        <v>33</v>
      </c>
      <c r="T35">
        <v>24</v>
      </c>
      <c r="U35">
        <v>0</v>
      </c>
      <c r="V35">
        <v>0</v>
      </c>
    </row>
    <row r="36" spans="5:22" ht="130.5">
      <c r="E36" s="16" t="s">
        <v>141</v>
      </c>
      <c r="F36" s="11">
        <f>(G36+H36)/2</f>
        <v>0.5</v>
      </c>
      <c r="G36" s="11">
        <f t="shared" si="10"/>
        <v>0</v>
      </c>
      <c r="H36" s="11">
        <f t="shared" si="11"/>
        <v>1</v>
      </c>
      <c r="I36" s="11">
        <f t="shared" si="12"/>
        <v>1</v>
      </c>
      <c r="J36" s="11">
        <f t="shared" si="13"/>
        <v>0.54189944134078216</v>
      </c>
      <c r="K36">
        <v>0</v>
      </c>
      <c r="L36">
        <v>14</v>
      </c>
      <c r="M36">
        <v>58</v>
      </c>
      <c r="N36">
        <v>49</v>
      </c>
      <c r="O36">
        <v>0</v>
      </c>
      <c r="P36">
        <v>0</v>
      </c>
      <c r="Q36">
        <v>0</v>
      </c>
      <c r="R36">
        <v>10</v>
      </c>
      <c r="S36">
        <v>24</v>
      </c>
      <c r="T36">
        <v>24</v>
      </c>
      <c r="U36">
        <v>0</v>
      </c>
      <c r="V36">
        <v>0</v>
      </c>
    </row>
    <row r="37" spans="5:22">
      <c r="E37" t="s">
        <v>142</v>
      </c>
      <c r="F37" s="11" t="e">
        <f>(G37+H37)/2</f>
        <v>#DIV/0!</v>
      </c>
      <c r="G37" s="11">
        <f t="shared" si="10"/>
        <v>0.16216216216216217</v>
      </c>
      <c r="H37" s="11" t="e">
        <f t="shared" si="11"/>
        <v>#DIV/0!</v>
      </c>
      <c r="I37" s="11" t="e">
        <f t="shared" si="12"/>
        <v>#DIV/0!</v>
      </c>
      <c r="J37" s="11">
        <f t="shared" si="13"/>
        <v>0.14396887159533073</v>
      </c>
      <c r="K37">
        <v>6</v>
      </c>
      <c r="L37">
        <v>31</v>
      </c>
      <c r="M37">
        <v>220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5:22">
      <c r="E38" t="s">
        <v>142</v>
      </c>
      <c r="F38" s="11" t="e">
        <f>(G38+H38)/2</f>
        <v>#DIV/0!</v>
      </c>
      <c r="G38" s="11">
        <f t="shared" si="10"/>
        <v>0.08</v>
      </c>
      <c r="H38" s="11" t="e">
        <f t="shared" si="11"/>
        <v>#DIV/0!</v>
      </c>
      <c r="I38" s="11" t="e">
        <f t="shared" si="12"/>
        <v>#DIV/0!</v>
      </c>
      <c r="J38" s="11">
        <f t="shared" si="13"/>
        <v>9.727626459143969E-2</v>
      </c>
      <c r="K38">
        <v>2</v>
      </c>
      <c r="L38">
        <v>23</v>
      </c>
      <c r="M38">
        <v>232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5:22" ht="101.25">
      <c r="E39" s="16" t="s">
        <v>143</v>
      </c>
      <c r="F39" s="11" t="e">
        <f>(G39+H39)/2</f>
        <v>#DIV/0!</v>
      </c>
      <c r="G39" s="11">
        <f t="shared" si="10"/>
        <v>0</v>
      </c>
      <c r="H39" s="11" t="e">
        <f t="shared" si="11"/>
        <v>#DIV/0!</v>
      </c>
      <c r="I39" s="11" t="e">
        <f t="shared" si="12"/>
        <v>#DIV/0!</v>
      </c>
      <c r="J39" s="11">
        <f t="shared" si="13"/>
        <v>9.6899224806201556E-2</v>
      </c>
      <c r="K39">
        <v>0</v>
      </c>
      <c r="L39">
        <v>25</v>
      </c>
      <c r="M39">
        <v>233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1" spans="5:22" ht="101.25">
      <c r="E41" s="16" t="s">
        <v>143</v>
      </c>
      <c r="F41" s="11" t="e">
        <f>(G41+H41)/2</f>
        <v>#DIV/0!</v>
      </c>
      <c r="G41" s="11">
        <f t="shared" ref="G41" si="14">(K41+Q41)/(K41+L41+Q41+R41)</f>
        <v>0.16666666666666666</v>
      </c>
      <c r="H41" s="11" t="e">
        <f t="shared" ref="H41" si="15">(N41+T41)/(N41+O41+T41+U41)</f>
        <v>#DIV/0!</v>
      </c>
      <c r="I41" s="11" t="e">
        <f t="shared" ref="I41" si="16">H41-G41</f>
        <v>#DIV/0!</v>
      </c>
      <c r="J41" s="11">
        <f t="shared" ref="J41" si="17">(K41+L41+N41+O41+Q41+R41+T41+U41)/(K41+L41+N41+O41+Q41+R41+T41+U41+P41+S41+V41+M41)</f>
        <v>0.06</v>
      </c>
      <c r="K41">
        <v>3</v>
      </c>
      <c r="L41">
        <v>15</v>
      </c>
      <c r="M41">
        <v>282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5:22">
      <c r="E42" s="16"/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</row>
    <row r="43" spans="5:22">
      <c r="E43" t="s">
        <v>144</v>
      </c>
      <c r="G43">
        <v>338</v>
      </c>
      <c r="H43">
        <v>74</v>
      </c>
      <c r="I43">
        <v>137</v>
      </c>
      <c r="J43">
        <v>0</v>
      </c>
    </row>
    <row r="44" spans="5:22">
      <c r="E44" t="s">
        <v>144</v>
      </c>
      <c r="G44">
        <v>294</v>
      </c>
      <c r="H44">
        <v>17</v>
      </c>
      <c r="I44">
        <v>180</v>
      </c>
      <c r="J44">
        <v>0</v>
      </c>
    </row>
    <row r="45" spans="5:22" ht="101.25">
      <c r="E45" s="16" t="s">
        <v>143</v>
      </c>
      <c r="F45" s="11" t="e">
        <f>(G45+H45)/2</f>
        <v>#DIV/0!</v>
      </c>
      <c r="G45" s="11">
        <f t="shared" ref="G45:G47" si="18">(K45+Q45)/(K45+L45+Q45+R45)</f>
        <v>0.35</v>
      </c>
      <c r="H45" s="11" t="e">
        <f t="shared" ref="H45:H47" si="19">(N45+T45)/(N45+O45+T45+U45)</f>
        <v>#DIV/0!</v>
      </c>
      <c r="I45" s="11" t="e">
        <f t="shared" ref="I45:I47" si="20">H45-G45</f>
        <v>#DIV/0!</v>
      </c>
      <c r="J45" s="11">
        <f t="shared" ref="J45:J47" si="21">(K45+L45+N45+O45+Q45+R45+T45+U45)/(K45+L45+N45+O45+Q45+R45+T45+U45+P45+S45+V45+M45)</f>
        <v>6.6666666666666666E-2</v>
      </c>
      <c r="K45">
        <v>7</v>
      </c>
      <c r="L45">
        <v>13</v>
      </c>
      <c r="M45">
        <v>280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5:22" ht="101.25">
      <c r="E46" s="16" t="s">
        <v>143</v>
      </c>
      <c r="F46" s="11" t="e">
        <f>(G46+H46)/2</f>
        <v>#DIV/0!</v>
      </c>
      <c r="G46" s="11">
        <f t="shared" si="18"/>
        <v>0.57499999999999996</v>
      </c>
      <c r="H46" s="11" t="e">
        <f t="shared" si="19"/>
        <v>#DIV/0!</v>
      </c>
      <c r="I46" s="11" t="e">
        <f t="shared" si="20"/>
        <v>#DIV/0!</v>
      </c>
      <c r="J46" s="11">
        <f t="shared" si="21"/>
        <v>0.13333333333333333</v>
      </c>
      <c r="K46">
        <v>23</v>
      </c>
      <c r="L46">
        <v>17</v>
      </c>
      <c r="M46">
        <v>260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5:22" ht="101.25">
      <c r="E47" s="16" t="s">
        <v>143</v>
      </c>
      <c r="F47" s="11" t="e">
        <f>(G47+H47)/2</f>
        <v>#DIV/0!</v>
      </c>
      <c r="G47" s="11">
        <f t="shared" si="18"/>
        <v>0.84615384615384615</v>
      </c>
      <c r="H47" s="11" t="e">
        <f t="shared" si="19"/>
        <v>#DIV/0!</v>
      </c>
      <c r="I47" s="11" t="e">
        <f t="shared" si="20"/>
        <v>#DIV/0!</v>
      </c>
      <c r="J47" s="11">
        <f t="shared" si="21"/>
        <v>4.3333333333333335E-2</v>
      </c>
      <c r="K47">
        <v>11</v>
      </c>
      <c r="L47">
        <v>2</v>
      </c>
      <c r="M47">
        <v>287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50" spans="5:22" ht="29.25">
      <c r="E50" s="16" t="s">
        <v>145</v>
      </c>
      <c r="F50" s="11">
        <f>(G50+H50)/2</f>
        <v>0.51162790697674421</v>
      </c>
      <c r="G50" s="11">
        <f t="shared" ref="G50:G51" si="22">(K50+Q50)/(K50+L50+Q50+R50)</f>
        <v>2.3255813953488372E-2</v>
      </c>
      <c r="H50" s="11">
        <f t="shared" ref="H50:H51" si="23">(N50+T50)/(N50+O50+T50+U50)</f>
        <v>1</v>
      </c>
      <c r="I50" s="11">
        <f t="shared" ref="I50:I51" si="24">H50-G50</f>
        <v>0.97674418604651159</v>
      </c>
      <c r="J50" s="11">
        <f t="shared" ref="J50:J51" si="25">(K50+L50+N50+O50+Q50+R50+T50+U50)/(K50+L50+N50+O50+Q50+R50+T50+U50+P50+S50+V50+M50)</f>
        <v>0.24333333333333335</v>
      </c>
      <c r="K50">
        <v>1</v>
      </c>
      <c r="L50">
        <v>42</v>
      </c>
      <c r="M50">
        <v>227</v>
      </c>
      <c r="N50">
        <v>30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5:22" ht="57.75">
      <c r="E51" s="16" t="s">
        <v>146</v>
      </c>
      <c r="F51" s="11">
        <f>(G51+H51)/2</f>
        <v>0.78809523809523807</v>
      </c>
      <c r="G51" s="11">
        <f t="shared" si="22"/>
        <v>0.6</v>
      </c>
      <c r="H51" s="11">
        <f t="shared" si="23"/>
        <v>0.97619047619047616</v>
      </c>
      <c r="I51" s="11">
        <f t="shared" si="24"/>
        <v>0.37619047619047619</v>
      </c>
      <c r="J51" s="11">
        <f t="shared" si="25"/>
        <v>0.22333333333333333</v>
      </c>
      <c r="K51">
        <v>15</v>
      </c>
      <c r="L51">
        <v>10</v>
      </c>
      <c r="M51">
        <v>233</v>
      </c>
      <c r="N51">
        <v>41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6" spans="5:22" ht="57.75">
      <c r="E56" s="16" t="s">
        <v>146</v>
      </c>
      <c r="F56" s="11">
        <f>(G56+H56)/2</f>
        <v>0.80976013234077748</v>
      </c>
      <c r="G56" s="11">
        <f t="shared" ref="G56:G62" si="26">(K56+Q56)/(K56+L56+Q56+R56)</f>
        <v>0.64516129032258063</v>
      </c>
      <c r="H56" s="11">
        <f t="shared" ref="H56:H62" si="27">(N56+T56)/(N56+O56+T56+U56)</f>
        <v>0.97435897435897434</v>
      </c>
      <c r="I56" s="11">
        <f t="shared" ref="I56:I62" si="28">H56-G56</f>
        <v>0.32919768403639371</v>
      </c>
      <c r="J56" s="11">
        <f t="shared" ref="J56:J62" si="29">(K56+L56+N56+O56+Q56+R56+T56+U56)/(K56+L56+N56+O56+Q56+R56+T56+U56+P56+S56+V56+M56)</f>
        <v>0.33666666666666667</v>
      </c>
      <c r="K56">
        <v>40</v>
      </c>
      <c r="L56">
        <v>22</v>
      </c>
      <c r="M56">
        <v>196</v>
      </c>
      <c r="N56">
        <v>38</v>
      </c>
      <c r="O56">
        <v>1</v>
      </c>
      <c r="P56">
        <v>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5:22" ht="57.75">
      <c r="E57" s="16" t="s">
        <v>146</v>
      </c>
      <c r="F57" s="11">
        <f>(G57+H57)/2</f>
        <v>0.86005171299288952</v>
      </c>
      <c r="G57" s="11">
        <f t="shared" si="26"/>
        <v>0.87394957983193278</v>
      </c>
      <c r="H57" s="11">
        <f t="shared" si="27"/>
        <v>0.84615384615384615</v>
      </c>
      <c r="I57" s="11">
        <f t="shared" si="28"/>
        <v>-2.7795733678086632E-2</v>
      </c>
      <c r="J57" s="11">
        <f t="shared" si="29"/>
        <v>0.52666666666666662</v>
      </c>
      <c r="K57">
        <v>104</v>
      </c>
      <c r="L57">
        <v>15</v>
      </c>
      <c r="M57">
        <v>121</v>
      </c>
      <c r="N57">
        <v>33</v>
      </c>
      <c r="O57">
        <v>6</v>
      </c>
      <c r="P57">
        <v>21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5:22" ht="43.5">
      <c r="E58" s="16" t="s">
        <v>147</v>
      </c>
      <c r="F58" s="11">
        <f>(G58+H58)/2</f>
        <v>0.96875</v>
      </c>
      <c r="G58" s="11">
        <f t="shared" si="26"/>
        <v>0.9375</v>
      </c>
      <c r="H58" s="11">
        <f t="shared" si="27"/>
        <v>1</v>
      </c>
      <c r="I58" s="11">
        <f t="shared" si="28"/>
        <v>6.25E-2</v>
      </c>
      <c r="J58" s="11">
        <f t="shared" si="29"/>
        <v>0.94444444444444442</v>
      </c>
      <c r="K58">
        <v>15</v>
      </c>
      <c r="L58">
        <v>1</v>
      </c>
      <c r="M58">
        <v>2</v>
      </c>
      <c r="N58">
        <v>18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5:22" ht="72.75">
      <c r="E59" s="16" t="s">
        <v>148</v>
      </c>
      <c r="F59" s="11">
        <f>(G59+H59)/2</f>
        <v>0.8515625</v>
      </c>
      <c r="G59" s="11">
        <f t="shared" si="26"/>
        <v>0.703125</v>
      </c>
      <c r="H59" s="11">
        <f t="shared" si="27"/>
        <v>1</v>
      </c>
      <c r="I59" s="11">
        <f t="shared" si="28"/>
        <v>0.296875</v>
      </c>
      <c r="J59" s="11">
        <f t="shared" si="29"/>
        <v>0.84967320261437906</v>
      </c>
      <c r="K59">
        <v>33</v>
      </c>
      <c r="L59">
        <v>10</v>
      </c>
      <c r="M59">
        <v>14</v>
      </c>
      <c r="N59">
        <v>44</v>
      </c>
      <c r="O59">
        <v>0</v>
      </c>
      <c r="P59">
        <v>2</v>
      </c>
      <c r="Q59">
        <v>12</v>
      </c>
      <c r="R59">
        <v>9</v>
      </c>
      <c r="S59">
        <v>6</v>
      </c>
      <c r="T59">
        <v>22</v>
      </c>
      <c r="U59">
        <v>0</v>
      </c>
      <c r="V59">
        <v>1</v>
      </c>
    </row>
    <row r="60" spans="5:22" ht="57.75">
      <c r="E60" s="16" t="s">
        <v>149</v>
      </c>
      <c r="F60" s="11">
        <f>(G60+H60)/2</f>
        <v>0.56125000000000003</v>
      </c>
      <c r="G60" s="11">
        <f t="shared" si="26"/>
        <v>0.26250000000000001</v>
      </c>
      <c r="H60" s="11">
        <f t="shared" si="27"/>
        <v>0.86</v>
      </c>
      <c r="I60" s="11">
        <f t="shared" si="28"/>
        <v>0.59749999999999992</v>
      </c>
      <c r="J60" s="11">
        <f t="shared" si="29"/>
        <v>0.71823204419889508</v>
      </c>
      <c r="K60">
        <v>15</v>
      </c>
      <c r="L60">
        <v>38</v>
      </c>
      <c r="M60">
        <v>20</v>
      </c>
      <c r="N60">
        <v>27</v>
      </c>
      <c r="O60">
        <v>6</v>
      </c>
      <c r="P60">
        <v>15</v>
      </c>
      <c r="Q60">
        <v>6</v>
      </c>
      <c r="R60">
        <v>21</v>
      </c>
      <c r="S60">
        <v>9</v>
      </c>
      <c r="T60">
        <v>16</v>
      </c>
      <c r="U60">
        <v>1</v>
      </c>
      <c r="V60">
        <v>7</v>
      </c>
    </row>
    <row r="61" spans="5:22" ht="57.75">
      <c r="E61" s="16" t="s">
        <v>149</v>
      </c>
      <c r="F61" s="11">
        <f>(G61+H61)/2</f>
        <v>0.5359316140249204</v>
      </c>
      <c r="G61" s="11">
        <f t="shared" si="26"/>
        <v>0.55462184873949583</v>
      </c>
      <c r="H61" s="11">
        <f t="shared" si="27"/>
        <v>0.51724137931034486</v>
      </c>
      <c r="I61" s="11">
        <f t="shared" si="28"/>
        <v>-3.7380469429150964E-2</v>
      </c>
      <c r="J61" s="11">
        <f t="shared" si="29"/>
        <v>0.87686567164179108</v>
      </c>
      <c r="K61">
        <v>61</v>
      </c>
      <c r="L61">
        <v>42</v>
      </c>
      <c r="M61">
        <v>20</v>
      </c>
      <c r="N61">
        <v>55</v>
      </c>
      <c r="O61">
        <v>52</v>
      </c>
      <c r="P61">
        <v>11</v>
      </c>
      <c r="Q61">
        <v>5</v>
      </c>
      <c r="R61">
        <v>11</v>
      </c>
      <c r="S61">
        <v>2</v>
      </c>
      <c r="T61">
        <v>5</v>
      </c>
      <c r="U61">
        <v>4</v>
      </c>
      <c r="V61">
        <v>0</v>
      </c>
    </row>
    <row r="62" spans="5:22" ht="43.5">
      <c r="E62" s="16" t="s">
        <v>150</v>
      </c>
      <c r="F62" s="11">
        <f>(G62+H62)/2</f>
        <v>0.64056795131845834</v>
      </c>
      <c r="G62" s="11">
        <f t="shared" si="26"/>
        <v>0.72941176470588232</v>
      </c>
      <c r="H62" s="11">
        <f t="shared" si="27"/>
        <v>0.55172413793103448</v>
      </c>
      <c r="I62" s="11">
        <f t="shared" si="28"/>
        <v>-0.17768762677484784</v>
      </c>
      <c r="J62" s="11">
        <f t="shared" si="29"/>
        <v>0.86</v>
      </c>
      <c r="K62">
        <v>41</v>
      </c>
      <c r="L62">
        <v>15</v>
      </c>
      <c r="M62">
        <v>11</v>
      </c>
      <c r="N62">
        <v>30</v>
      </c>
      <c r="O62">
        <v>30</v>
      </c>
      <c r="P62">
        <v>6</v>
      </c>
      <c r="Q62">
        <v>21</v>
      </c>
      <c r="R62">
        <v>8</v>
      </c>
      <c r="S62">
        <v>4</v>
      </c>
      <c r="T62">
        <v>18</v>
      </c>
      <c r="U62">
        <v>9</v>
      </c>
      <c r="V6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CA5D-EF32-4E48-B6B7-D1C05AE048AE}">
  <dimension ref="A1:AQ87"/>
  <sheetViews>
    <sheetView topLeftCell="A68" workbookViewId="0">
      <selection activeCell="F81" sqref="F81"/>
    </sheetView>
  </sheetViews>
  <sheetFormatPr defaultRowHeight="15"/>
  <cols>
    <col min="1" max="1" width="11.140625" bestFit="1" customWidth="1"/>
    <col min="9" max="9" width="28.42578125" customWidth="1"/>
    <col min="17" max="17" width="11.28515625" customWidth="1"/>
    <col min="18" max="18" width="10.7109375" customWidth="1"/>
  </cols>
  <sheetData>
    <row r="1" spans="1:18" ht="29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>
      <c r="A2" s="3">
        <v>45607</v>
      </c>
      <c r="B2" s="4" t="s">
        <v>19</v>
      </c>
      <c r="C2">
        <v>28.7</v>
      </c>
      <c r="D2" s="7">
        <f>C2/$C$2</f>
        <v>1</v>
      </c>
      <c r="G2">
        <f>E2+F2</f>
        <v>0</v>
      </c>
      <c r="I2" t="s">
        <v>92</v>
      </c>
    </row>
    <row r="3" spans="1:18">
      <c r="A3" s="3">
        <v>45608</v>
      </c>
      <c r="B3" s="4" t="s">
        <v>22</v>
      </c>
      <c r="D3" s="7">
        <f t="shared" ref="D3:D61" si="0">C3/$C$2</f>
        <v>0</v>
      </c>
    </row>
    <row r="4" spans="1:18">
      <c r="A4" s="3">
        <v>45609</v>
      </c>
      <c r="B4" s="4" t="s">
        <v>24</v>
      </c>
      <c r="C4">
        <v>28.2</v>
      </c>
      <c r="D4" s="7">
        <f t="shared" si="0"/>
        <v>0.98257839721254359</v>
      </c>
      <c r="I4" t="s">
        <v>21</v>
      </c>
    </row>
    <row r="5" spans="1:18">
      <c r="A5" s="3">
        <v>45610</v>
      </c>
      <c r="B5" s="4" t="s">
        <v>26</v>
      </c>
      <c r="C5">
        <v>25.2</v>
      </c>
      <c r="D5" s="7">
        <f t="shared" si="0"/>
        <v>0.87804878048780488</v>
      </c>
      <c r="E5" t="s">
        <v>91</v>
      </c>
      <c r="I5" t="s">
        <v>92</v>
      </c>
    </row>
    <row r="6" spans="1:18">
      <c r="A6" s="3">
        <v>45611</v>
      </c>
      <c r="B6" s="4" t="s">
        <v>27</v>
      </c>
      <c r="C6">
        <v>24.2</v>
      </c>
      <c r="D6" s="7">
        <f t="shared" si="0"/>
        <v>0.84320557491289194</v>
      </c>
      <c r="E6">
        <v>0.8</v>
      </c>
      <c r="I6" t="s">
        <v>92</v>
      </c>
    </row>
    <row r="7" spans="1:18">
      <c r="A7" s="3">
        <v>45612</v>
      </c>
      <c r="B7" s="4" t="s">
        <v>28</v>
      </c>
      <c r="D7" s="7">
        <f t="shared" si="0"/>
        <v>0</v>
      </c>
      <c r="E7" t="s">
        <v>91</v>
      </c>
    </row>
    <row r="8" spans="1:18">
      <c r="A8" s="3">
        <v>45613</v>
      </c>
      <c r="B8" s="4" t="s">
        <v>29</v>
      </c>
      <c r="C8">
        <v>23</v>
      </c>
      <c r="D8" s="7">
        <f t="shared" si="0"/>
        <v>0.80139372822299648</v>
      </c>
      <c r="E8">
        <v>1.5</v>
      </c>
      <c r="I8" t="s">
        <v>25</v>
      </c>
    </row>
    <row r="9" spans="1:18">
      <c r="A9" s="3">
        <v>45614</v>
      </c>
      <c r="B9" s="4" t="s">
        <v>19</v>
      </c>
      <c r="C9">
        <v>22.9</v>
      </c>
      <c r="D9" s="7">
        <f t="shared" si="0"/>
        <v>0.79790940766550522</v>
      </c>
      <c r="E9">
        <v>1.5</v>
      </c>
      <c r="I9" t="s">
        <v>25</v>
      </c>
      <c r="R9" t="s">
        <v>93</v>
      </c>
    </row>
    <row r="10" spans="1:18">
      <c r="A10" s="3">
        <v>45615</v>
      </c>
      <c r="B10" s="4" t="s">
        <v>22</v>
      </c>
      <c r="C10">
        <v>22.5</v>
      </c>
      <c r="D10" s="7">
        <f t="shared" si="0"/>
        <v>0.78397212543554007</v>
      </c>
      <c r="E10">
        <v>2.2000000000000002</v>
      </c>
      <c r="I10" t="s">
        <v>94</v>
      </c>
    </row>
    <row r="11" spans="1:18">
      <c r="A11" s="3">
        <v>45616</v>
      </c>
      <c r="B11" s="4" t="s">
        <v>24</v>
      </c>
      <c r="C11">
        <v>22.5</v>
      </c>
      <c r="D11" s="7">
        <f t="shared" si="0"/>
        <v>0.78397212543554007</v>
      </c>
      <c r="E11">
        <v>2.5</v>
      </c>
      <c r="I11" t="s">
        <v>94</v>
      </c>
    </row>
    <row r="12" spans="1:18">
      <c r="A12" s="3">
        <v>45617</v>
      </c>
      <c r="B12" s="4" t="s">
        <v>26</v>
      </c>
      <c r="C12">
        <v>23.2</v>
      </c>
      <c r="D12" s="7">
        <f t="shared" si="0"/>
        <v>0.80836236933797911</v>
      </c>
      <c r="E12">
        <v>1.2</v>
      </c>
    </row>
    <row r="13" spans="1:18">
      <c r="A13" s="3">
        <v>45618</v>
      </c>
      <c r="B13" s="4" t="s">
        <v>27</v>
      </c>
      <c r="C13">
        <v>22.7</v>
      </c>
      <c r="D13" s="7">
        <f t="shared" si="0"/>
        <v>0.79094076655052259</v>
      </c>
      <c r="E13">
        <v>1.2</v>
      </c>
    </row>
    <row r="14" spans="1:18">
      <c r="A14" s="3">
        <v>45619</v>
      </c>
      <c r="B14" s="4" t="s">
        <v>28</v>
      </c>
      <c r="C14">
        <v>22.3</v>
      </c>
      <c r="D14" s="7">
        <f t="shared" si="0"/>
        <v>0.77700348432055755</v>
      </c>
    </row>
    <row r="15" spans="1:18">
      <c r="A15" s="3">
        <v>45620</v>
      </c>
      <c r="B15" s="4" t="s">
        <v>29</v>
      </c>
      <c r="C15">
        <v>22.2</v>
      </c>
      <c r="D15" s="7">
        <f t="shared" si="0"/>
        <v>0.77351916376306618</v>
      </c>
      <c r="E15" t="s">
        <v>91</v>
      </c>
    </row>
    <row r="16" spans="1:18">
      <c r="A16" s="3">
        <v>45621</v>
      </c>
      <c r="B16" s="4" t="s">
        <v>19</v>
      </c>
      <c r="C16">
        <v>23.3</v>
      </c>
      <c r="D16" s="7">
        <f t="shared" si="0"/>
        <v>0.81184668989547037</v>
      </c>
      <c r="E16">
        <v>0.8</v>
      </c>
    </row>
    <row r="17" spans="1:18">
      <c r="A17" s="3">
        <v>45622</v>
      </c>
      <c r="B17" s="4" t="s">
        <v>22</v>
      </c>
      <c r="C17">
        <v>22.8</v>
      </c>
      <c r="D17" s="7">
        <f t="shared" si="0"/>
        <v>0.79442508710801396</v>
      </c>
      <c r="E17">
        <v>0.8</v>
      </c>
      <c r="I17" t="s">
        <v>99</v>
      </c>
    </row>
    <row r="18" spans="1:18">
      <c r="A18" s="3">
        <v>45623</v>
      </c>
      <c r="B18" s="4" t="s">
        <v>24</v>
      </c>
      <c r="C18">
        <v>22.5</v>
      </c>
      <c r="D18" s="7">
        <f t="shared" si="0"/>
        <v>0.78397212543554007</v>
      </c>
      <c r="I18" t="s">
        <v>99</v>
      </c>
      <c r="J18" s="8">
        <v>0.19444444444444445</v>
      </c>
      <c r="K18" s="8">
        <v>0.21527777777777779</v>
      </c>
      <c r="L18">
        <v>276</v>
      </c>
      <c r="M18">
        <v>2574</v>
      </c>
    </row>
    <row r="19" spans="1:18">
      <c r="A19" s="3">
        <v>45624</v>
      </c>
      <c r="B19" s="4" t="s">
        <v>26</v>
      </c>
      <c r="C19">
        <v>22.7</v>
      </c>
      <c r="D19" s="7">
        <f t="shared" si="0"/>
        <v>0.79094076655052259</v>
      </c>
      <c r="I19" t="s">
        <v>99</v>
      </c>
      <c r="J19" s="8">
        <v>0.19097222222222221</v>
      </c>
      <c r="K19" s="8">
        <v>0.2013888888888889</v>
      </c>
      <c r="L19">
        <v>243</v>
      </c>
      <c r="M19">
        <v>2657</v>
      </c>
    </row>
    <row r="20" spans="1:18">
      <c r="A20" s="3">
        <v>45625</v>
      </c>
      <c r="B20" s="4" t="s">
        <v>27</v>
      </c>
      <c r="I20" t="s">
        <v>96</v>
      </c>
    </row>
    <row r="21" spans="1:18">
      <c r="A21" s="3">
        <v>45626</v>
      </c>
      <c r="B21" s="4" t="s">
        <v>28</v>
      </c>
      <c r="C21">
        <v>22.5</v>
      </c>
      <c r="D21" s="7">
        <f t="shared" si="0"/>
        <v>0.78397212543554007</v>
      </c>
      <c r="I21" t="s">
        <v>99</v>
      </c>
      <c r="J21" s="8">
        <v>0.33194444444444443</v>
      </c>
      <c r="K21" s="8">
        <v>0.3611111111111111</v>
      </c>
      <c r="L21">
        <v>236</v>
      </c>
      <c r="M21">
        <v>4872</v>
      </c>
    </row>
    <row r="22" spans="1:18">
      <c r="A22" s="3">
        <v>45627</v>
      </c>
      <c r="B22" s="4" t="s">
        <v>29</v>
      </c>
      <c r="C22">
        <v>22.2</v>
      </c>
      <c r="D22" s="7">
        <f t="shared" si="0"/>
        <v>0.77351916376306618</v>
      </c>
      <c r="I22" t="s">
        <v>152</v>
      </c>
      <c r="J22" s="8">
        <v>0.19791666666666666</v>
      </c>
      <c r="K22" s="8">
        <v>0.21875</v>
      </c>
      <c r="L22">
        <v>251</v>
      </c>
      <c r="M22">
        <v>4937</v>
      </c>
      <c r="N22" t="s">
        <v>100</v>
      </c>
    </row>
    <row r="23" spans="1:18">
      <c r="A23" s="3">
        <v>45628</v>
      </c>
      <c r="B23" s="4" t="s">
        <v>19</v>
      </c>
      <c r="C23">
        <v>22.3</v>
      </c>
      <c r="D23" s="7">
        <f t="shared" si="0"/>
        <v>0.77700348432055755</v>
      </c>
      <c r="I23" t="s">
        <v>152</v>
      </c>
      <c r="J23" s="8">
        <v>0.19097222222222221</v>
      </c>
      <c r="K23" s="8">
        <v>0.21180555555555555</v>
      </c>
      <c r="L23">
        <v>335</v>
      </c>
      <c r="M23">
        <v>6055</v>
      </c>
      <c r="N23" t="s">
        <v>103</v>
      </c>
    </row>
    <row r="24" spans="1:18">
      <c r="A24" s="3">
        <v>45629</v>
      </c>
      <c r="B24" s="4" t="s">
        <v>22</v>
      </c>
      <c r="C24">
        <v>22.2</v>
      </c>
      <c r="D24" s="7">
        <f t="shared" si="0"/>
        <v>0.77351916376306618</v>
      </c>
      <c r="I24" t="s">
        <v>152</v>
      </c>
      <c r="J24" s="8">
        <v>0.15277777777777779</v>
      </c>
      <c r="K24" s="8">
        <v>0.18402777777777779</v>
      </c>
      <c r="L24">
        <v>335</v>
      </c>
      <c r="M24">
        <v>4675</v>
      </c>
      <c r="N24" t="s">
        <v>103</v>
      </c>
    </row>
    <row r="25" spans="1:18">
      <c r="A25" s="3">
        <v>45630</v>
      </c>
      <c r="B25" s="4" t="s">
        <v>24</v>
      </c>
      <c r="C25">
        <v>22.4</v>
      </c>
      <c r="D25" s="7">
        <f t="shared" si="0"/>
        <v>0.7804878048780487</v>
      </c>
      <c r="E25">
        <v>3</v>
      </c>
      <c r="I25" t="s">
        <v>96</v>
      </c>
      <c r="J25" t="s">
        <v>153</v>
      </c>
    </row>
    <row r="26" spans="1:18">
      <c r="A26" s="3">
        <v>45631</v>
      </c>
      <c r="B26" s="4" t="s">
        <v>26</v>
      </c>
      <c r="C26">
        <v>22.6</v>
      </c>
      <c r="D26" s="7">
        <f t="shared" si="0"/>
        <v>0.78745644599303144</v>
      </c>
      <c r="I26" t="s">
        <v>154</v>
      </c>
      <c r="J26" s="8">
        <v>0.23958333333333334</v>
      </c>
      <c r="K26" s="8">
        <v>0.2673611111111111</v>
      </c>
      <c r="L26">
        <v>121</v>
      </c>
      <c r="M26">
        <v>2727</v>
      </c>
      <c r="N26">
        <v>61</v>
      </c>
      <c r="O26">
        <v>115</v>
      </c>
      <c r="P26">
        <v>55</v>
      </c>
      <c r="Q26">
        <v>58</v>
      </c>
      <c r="R26" t="s">
        <v>103</v>
      </c>
    </row>
    <row r="27" spans="1:18">
      <c r="A27" s="3">
        <v>45632</v>
      </c>
      <c r="B27" s="4" t="s">
        <v>27</v>
      </c>
      <c r="C27">
        <v>22.4</v>
      </c>
      <c r="D27" s="7">
        <f t="shared" si="0"/>
        <v>0.7804878048780487</v>
      </c>
      <c r="I27" t="s">
        <v>154</v>
      </c>
      <c r="J27" s="8">
        <v>0.2</v>
      </c>
      <c r="K27" s="8">
        <v>0.22916666666666666</v>
      </c>
      <c r="L27">
        <v>76</v>
      </c>
      <c r="M27">
        <v>1321</v>
      </c>
      <c r="N27">
        <v>36</v>
      </c>
      <c r="O27">
        <v>139</v>
      </c>
      <c r="P27">
        <v>36</v>
      </c>
      <c r="Q27">
        <v>40</v>
      </c>
      <c r="R27" t="s">
        <v>103</v>
      </c>
    </row>
    <row r="28" spans="1:18">
      <c r="A28" s="3">
        <v>45633</v>
      </c>
      <c r="B28" s="4" t="s">
        <v>28</v>
      </c>
      <c r="C28">
        <v>21.9</v>
      </c>
      <c r="D28" s="7">
        <f t="shared" si="0"/>
        <v>0.76306620209059228</v>
      </c>
      <c r="I28" t="s">
        <v>154</v>
      </c>
      <c r="L28">
        <v>213</v>
      </c>
      <c r="M28">
        <v>2818</v>
      </c>
      <c r="N28">
        <v>111</v>
      </c>
      <c r="O28">
        <v>207</v>
      </c>
      <c r="P28">
        <v>104</v>
      </c>
      <c r="Q28">
        <v>109</v>
      </c>
      <c r="R28" t="s">
        <v>155</v>
      </c>
    </row>
    <row r="29" spans="1:18">
      <c r="A29" s="3">
        <v>45634</v>
      </c>
      <c r="B29" s="4" t="s">
        <v>29</v>
      </c>
      <c r="C29">
        <v>22.1</v>
      </c>
      <c r="D29" s="7">
        <f t="shared" si="0"/>
        <v>0.77003484320557503</v>
      </c>
      <c r="I29" t="s">
        <v>156</v>
      </c>
      <c r="J29" s="8">
        <v>0.19791666666666666</v>
      </c>
      <c r="K29" s="8">
        <v>0.21875</v>
      </c>
      <c r="N29">
        <v>42</v>
      </c>
      <c r="O29">
        <v>95</v>
      </c>
      <c r="P29">
        <v>39</v>
      </c>
      <c r="Q29">
        <v>39</v>
      </c>
      <c r="R29" t="s">
        <v>157</v>
      </c>
    </row>
    <row r="30" spans="1:18">
      <c r="A30" s="3">
        <v>45635</v>
      </c>
      <c r="B30" s="4" t="s">
        <v>19</v>
      </c>
      <c r="C30">
        <v>22.6</v>
      </c>
      <c r="D30" s="7">
        <f t="shared" si="0"/>
        <v>0.78745644599303144</v>
      </c>
      <c r="I30" t="s">
        <v>156</v>
      </c>
      <c r="J30" s="8">
        <v>0.16527777777777777</v>
      </c>
      <c r="K30" s="8">
        <v>0.18194444444444444</v>
      </c>
      <c r="N30">
        <v>18</v>
      </c>
      <c r="O30">
        <v>46</v>
      </c>
      <c r="P30">
        <v>33</v>
      </c>
      <c r="Q30">
        <v>34</v>
      </c>
      <c r="R30" t="s">
        <v>158</v>
      </c>
    </row>
    <row r="31" spans="1:18">
      <c r="A31" s="3">
        <v>45636</v>
      </c>
      <c r="B31" s="4" t="s">
        <v>22</v>
      </c>
      <c r="C31">
        <v>23.2</v>
      </c>
      <c r="D31" s="7">
        <f t="shared" si="0"/>
        <v>0.80836236933797911</v>
      </c>
      <c r="I31" t="s">
        <v>156</v>
      </c>
      <c r="J31" s="8">
        <v>0.27777777777777779</v>
      </c>
      <c r="K31" s="8">
        <v>0.30208333333333331</v>
      </c>
    </row>
    <row r="32" spans="1:18">
      <c r="A32" s="3"/>
      <c r="B32" s="4" t="s">
        <v>24</v>
      </c>
      <c r="D32" s="7"/>
      <c r="I32" t="s">
        <v>159</v>
      </c>
      <c r="J32" s="8">
        <v>0.125</v>
      </c>
      <c r="K32" s="8">
        <v>0.12916666666666668</v>
      </c>
      <c r="N32">
        <v>20</v>
      </c>
      <c r="O32">
        <v>20</v>
      </c>
      <c r="R32" t="s">
        <v>160</v>
      </c>
    </row>
    <row r="33" spans="1:43" ht="43.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11</v>
      </c>
      <c r="M33" s="2" t="s">
        <v>67</v>
      </c>
      <c r="N33" s="1" t="s">
        <v>68</v>
      </c>
      <c r="O33" s="1" t="s">
        <v>69</v>
      </c>
      <c r="P33" s="1" t="s">
        <v>70</v>
      </c>
      <c r="Q33" s="1" t="s">
        <v>71</v>
      </c>
      <c r="R33" s="2" t="s">
        <v>72</v>
      </c>
      <c r="S33" s="2" t="s">
        <v>73</v>
      </c>
      <c r="T33" s="2" t="s">
        <v>74</v>
      </c>
      <c r="U33" s="2" t="s">
        <v>75</v>
      </c>
      <c r="V33" s="2" t="s">
        <v>76</v>
      </c>
      <c r="W33" s="2" t="s">
        <v>77</v>
      </c>
      <c r="X33" s="2" t="s">
        <v>72</v>
      </c>
      <c r="Y33" s="2" t="s">
        <v>73</v>
      </c>
      <c r="Z33" s="2" t="s">
        <v>74</v>
      </c>
      <c r="AA33" s="2" t="s">
        <v>75</v>
      </c>
      <c r="AB33" s="2" t="s">
        <v>76</v>
      </c>
      <c r="AC33" s="2" t="s">
        <v>77</v>
      </c>
      <c r="AD33" s="1" t="s">
        <v>13</v>
      </c>
      <c r="AE33" s="1" t="s">
        <v>14</v>
      </c>
      <c r="AF33" s="1" t="s">
        <v>80</v>
      </c>
      <c r="AG33" s="1" t="s">
        <v>17</v>
      </c>
      <c r="AH33" s="18" t="s">
        <v>115</v>
      </c>
      <c r="AI33" s="19" t="s">
        <v>68</v>
      </c>
      <c r="AJ33" s="19" t="s">
        <v>69</v>
      </c>
      <c r="AK33" s="19" t="s">
        <v>116</v>
      </c>
      <c r="AL33" s="19" t="s">
        <v>71</v>
      </c>
      <c r="AM33" s="20" t="s">
        <v>118</v>
      </c>
      <c r="AN33" s="21" t="s">
        <v>119</v>
      </c>
      <c r="AO33" s="21" t="s">
        <v>120</v>
      </c>
      <c r="AP33" s="21" t="s">
        <v>121</v>
      </c>
      <c r="AQ33" s="21" t="s">
        <v>122</v>
      </c>
    </row>
    <row r="34" spans="1:43">
      <c r="A34" s="3">
        <v>45637</v>
      </c>
      <c r="B34" s="4" t="s">
        <v>24</v>
      </c>
      <c r="C34">
        <v>23.3</v>
      </c>
      <c r="D34" s="7">
        <f t="shared" si="0"/>
        <v>0.81184668989547037</v>
      </c>
      <c r="I34" t="s">
        <v>110</v>
      </c>
      <c r="J34" s="8">
        <v>0.12916666666666668</v>
      </c>
      <c r="K34" s="8">
        <v>0.15972222222222221</v>
      </c>
      <c r="L34">
        <v>300</v>
      </c>
      <c r="M34" s="11">
        <f>(N34+O34)/2</f>
        <v>0.48742138364779874</v>
      </c>
      <c r="N34" s="11">
        <f t="shared" ref="N34" si="1">(R34+X34)/(R34+S34+X34+Y34)</f>
        <v>0.33333333333333331</v>
      </c>
      <c r="O34" s="11">
        <f t="shared" ref="O34" si="2">(U34+AA34)/(U34+V34+AA34+AB34)</f>
        <v>0.64150943396226412</v>
      </c>
      <c r="P34" s="11">
        <f t="shared" ref="P34" si="3">O34-N34</f>
        <v>0.3081761006289308</v>
      </c>
      <c r="Q34" s="11">
        <f t="shared" ref="Q34" si="4">(R34+S34+U34+V34+X34+Y34+AA34+AB34)/(R34+S34+U34+V34+X34+Y34+AA34+AB34+W34+Z34+AC34+T34)</f>
        <v>0.33200000000000002</v>
      </c>
      <c r="R34">
        <v>10</v>
      </c>
      <c r="S34">
        <v>20</v>
      </c>
      <c r="T34">
        <v>95</v>
      </c>
      <c r="U34">
        <v>34</v>
      </c>
      <c r="V34">
        <v>19</v>
      </c>
      <c r="W34">
        <v>72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355</v>
      </c>
      <c r="AE34">
        <v>1004</v>
      </c>
      <c r="AF34" t="s">
        <v>161</v>
      </c>
      <c r="AG34" t="s">
        <v>162</v>
      </c>
      <c r="AH34" s="22">
        <v>0.6</v>
      </c>
      <c r="AI34" s="22">
        <v>0.2</v>
      </c>
      <c r="AJ34" s="22">
        <v>1</v>
      </c>
      <c r="AK34" s="22">
        <v>0.8</v>
      </c>
      <c r="AL34" s="22">
        <v>0.46700000000000003</v>
      </c>
      <c r="AM34" s="22">
        <v>0.93799999999999994</v>
      </c>
      <c r="AN34" s="22">
        <v>0.875</v>
      </c>
      <c r="AO34" s="22">
        <v>1</v>
      </c>
      <c r="AP34" s="22">
        <v>0.125</v>
      </c>
      <c r="AQ34" s="22">
        <v>0.26700000000000002</v>
      </c>
    </row>
    <row r="35" spans="1:43">
      <c r="A35" s="3">
        <v>45638</v>
      </c>
      <c r="B35" s="4" t="s">
        <v>26</v>
      </c>
      <c r="C35">
        <v>23</v>
      </c>
      <c r="D35" s="7">
        <f t="shared" si="0"/>
        <v>0.80139372822299648</v>
      </c>
      <c r="E35">
        <v>0.5</v>
      </c>
      <c r="I35" t="s">
        <v>110</v>
      </c>
      <c r="J35" s="8">
        <v>0.16666666666666666</v>
      </c>
      <c r="K35" s="8">
        <v>0.20208333333333334</v>
      </c>
      <c r="L35">
        <v>300</v>
      </c>
      <c r="M35" s="11">
        <f>(N35+O35)/2</f>
        <v>0.40450980392156866</v>
      </c>
      <c r="N35" s="11">
        <f t="shared" ref="N34:N35" si="5">(R35+X35)/(R35+S35+X35+Y35)</f>
        <v>0.26</v>
      </c>
      <c r="O35" s="11">
        <f t="shared" ref="O34:O35" si="6">(U35+AA35)/(U35+V35+AA35+AB35)</f>
        <v>0.5490196078431373</v>
      </c>
      <c r="P35" s="11">
        <f t="shared" ref="P34:P35" si="7">O35-N35</f>
        <v>0.28901960784313729</v>
      </c>
      <c r="Q35" s="11">
        <f t="shared" ref="Q34:Q35" si="8">(R35+S35+U35+V35+X35+Y35+AA35+AB35)/(R35+S35+U35+V35+X35+Y35+AA35+AB35+W35+Z35+AC35+T35)</f>
        <v>0.33666666666666667</v>
      </c>
      <c r="R35">
        <v>13</v>
      </c>
      <c r="S35">
        <v>37</v>
      </c>
      <c r="T35">
        <v>99</v>
      </c>
      <c r="U35">
        <v>28</v>
      </c>
      <c r="V35">
        <v>23</v>
      </c>
      <c r="W35">
        <v>98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343</v>
      </c>
      <c r="AE35">
        <v>1914</v>
      </c>
      <c r="AF35" t="s">
        <v>112</v>
      </c>
      <c r="AH35" s="22">
        <v>0.66100000000000003</v>
      </c>
      <c r="AI35" s="22">
        <v>0.32100000000000001</v>
      </c>
      <c r="AJ35" s="22">
        <v>1</v>
      </c>
      <c r="AK35" s="22">
        <v>0.67900000000000005</v>
      </c>
      <c r="AL35" s="22">
        <v>0.35499999999999998</v>
      </c>
      <c r="AM35" s="22">
        <v>0.79500000000000004</v>
      </c>
      <c r="AN35" s="22">
        <v>0.92300000000000004</v>
      </c>
      <c r="AO35" s="22">
        <v>0.66700000000000004</v>
      </c>
      <c r="AP35" s="22">
        <v>-0.25600000000000001</v>
      </c>
      <c r="AQ35" s="22">
        <v>0.28000000000000003</v>
      </c>
    </row>
    <row r="36" spans="1:43">
      <c r="A36" s="3">
        <v>45639</v>
      </c>
      <c r="B36" s="4" t="s">
        <v>27</v>
      </c>
      <c r="C36">
        <v>22.6</v>
      </c>
      <c r="D36" s="7">
        <f t="shared" si="0"/>
        <v>0.78745644599303144</v>
      </c>
      <c r="F36" s="10">
        <f>(R36+U36+X36+AA36)*AF36/1000</f>
        <v>0.14399999999999999</v>
      </c>
      <c r="G36" s="10">
        <f>E36+F36</f>
        <v>0.14399999999999999</v>
      </c>
      <c r="I36" t="s">
        <v>110</v>
      </c>
      <c r="J36" s="8">
        <v>0.1763888888888889</v>
      </c>
      <c r="K36" s="8">
        <v>0.21249999999999999</v>
      </c>
      <c r="L36">
        <v>300</v>
      </c>
      <c r="M36" s="11">
        <f>(N36+O36)/2</f>
        <v>0.47368421052631576</v>
      </c>
      <c r="N36" s="11">
        <f t="shared" ref="N35:N36" si="9">(R36+X36)/(R36+S36+X36+Y36)</f>
        <v>0.31578947368421051</v>
      </c>
      <c r="O36" s="11">
        <f t="shared" ref="O35:O36" si="10">(U36+AA36)/(U36+V36+AA36+AB36)</f>
        <v>0.63157894736842102</v>
      </c>
      <c r="P36" s="11">
        <f t="shared" ref="P35:P36" si="11">O36-N36</f>
        <v>0.31578947368421051</v>
      </c>
      <c r="Q36" s="11">
        <f t="shared" ref="Q35:Q36" si="12">(R36+S36+U36+V36+X36+Y36+AA36+AB36)/(R36+S36+U36+V36+X36+Y36+AA36+AB36+W36+Z36+AC36+T36)</f>
        <v>0.25333333333333335</v>
      </c>
      <c r="R36">
        <v>12</v>
      </c>
      <c r="S36">
        <v>26</v>
      </c>
      <c r="T36">
        <v>112</v>
      </c>
      <c r="U36">
        <v>24</v>
      </c>
      <c r="V36">
        <v>14</v>
      </c>
      <c r="W36">
        <v>112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315</v>
      </c>
      <c r="AE36">
        <v>1351</v>
      </c>
      <c r="AF36">
        <v>4</v>
      </c>
      <c r="AH36" s="22">
        <v>0.84</v>
      </c>
      <c r="AI36" s="22">
        <v>0.69399999999999995</v>
      </c>
      <c r="AJ36" s="22">
        <v>0.98599999999999999</v>
      </c>
      <c r="AK36" s="22">
        <v>0.29099999999999998</v>
      </c>
      <c r="AL36" s="22">
        <v>0.53500000000000003</v>
      </c>
      <c r="AM36" s="22">
        <v>0.626</v>
      </c>
      <c r="AN36" s="22">
        <v>0.92900000000000005</v>
      </c>
      <c r="AO36" s="22">
        <v>0.32300000000000001</v>
      </c>
      <c r="AP36" s="22">
        <v>-0.60599999999999998</v>
      </c>
      <c r="AQ36" s="22">
        <v>0.73</v>
      </c>
    </row>
    <row r="37" spans="1:43">
      <c r="A37" s="3">
        <v>45640</v>
      </c>
      <c r="B37" s="4" t="s">
        <v>28</v>
      </c>
      <c r="C37">
        <v>22.4</v>
      </c>
      <c r="D37" s="7">
        <f t="shared" si="0"/>
        <v>0.7804878048780487</v>
      </c>
      <c r="E37">
        <v>1.5</v>
      </c>
      <c r="F37" s="10">
        <f t="shared" ref="F37:F42" si="13">(R37+U37+X37+AA37)*AF37/1000</f>
        <v>0</v>
      </c>
      <c r="G37" s="10">
        <f t="shared" ref="G37:G42" si="14">E37+F37</f>
        <v>1.5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spans="1:43">
      <c r="A38" s="3">
        <v>45641</v>
      </c>
      <c r="B38" s="4" t="s">
        <v>29</v>
      </c>
      <c r="C38">
        <v>23</v>
      </c>
      <c r="D38" s="7">
        <f t="shared" si="0"/>
        <v>0.80139372822299648</v>
      </c>
      <c r="E38">
        <v>1</v>
      </c>
      <c r="F38" s="10">
        <f t="shared" si="13"/>
        <v>0</v>
      </c>
      <c r="G38" s="10">
        <f t="shared" si="14"/>
        <v>1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spans="1:43">
      <c r="A39" s="3">
        <v>45642</v>
      </c>
      <c r="B39" s="4" t="s">
        <v>19</v>
      </c>
      <c r="C39">
        <v>22.9</v>
      </c>
      <c r="D39" s="7">
        <f t="shared" si="0"/>
        <v>0.79790940766550522</v>
      </c>
      <c r="E39">
        <v>0.3</v>
      </c>
      <c r="F39" s="10">
        <f t="shared" si="13"/>
        <v>0.1</v>
      </c>
      <c r="G39" s="10">
        <f t="shared" si="14"/>
        <v>0.4</v>
      </c>
      <c r="I39" t="s">
        <v>110</v>
      </c>
      <c r="J39" s="8">
        <v>0.1736111111111111</v>
      </c>
      <c r="K39" s="8">
        <v>0.2048611111111111</v>
      </c>
      <c r="L39">
        <v>253</v>
      </c>
      <c r="M39" s="11">
        <f>(N39+O39)/2</f>
        <v>0.57246376811594202</v>
      </c>
      <c r="N39" s="11">
        <f t="shared" ref="N39" si="15">(R39+X39)/(R39+S39+X39+Y39)</f>
        <v>0.47826086956521741</v>
      </c>
      <c r="O39" s="11">
        <f t="shared" ref="O39" si="16">(U39+AA39)/(U39+V39+AA39+AB39)</f>
        <v>0.66666666666666663</v>
      </c>
      <c r="P39" s="11">
        <f t="shared" ref="P39" si="17">O39-N39</f>
        <v>0.18840579710144922</v>
      </c>
      <c r="Q39" s="11">
        <f t="shared" ref="Q39" si="18">(R39+S39+U39+V39+X39+Y39+AA39+AB39)/(R39+S39+U39+V39+X39+Y39+AA39+AB39+W39+Z39+AC39+T39)</f>
        <v>0.17322834645669291</v>
      </c>
      <c r="R39">
        <v>11</v>
      </c>
      <c r="S39">
        <v>12</v>
      </c>
      <c r="T39">
        <v>104</v>
      </c>
      <c r="U39">
        <v>14</v>
      </c>
      <c r="V39">
        <v>7</v>
      </c>
      <c r="W39">
        <v>106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259</v>
      </c>
      <c r="AE39">
        <v>450</v>
      </c>
      <c r="AF39">
        <v>4</v>
      </c>
      <c r="AH39" s="22">
        <v>0.64300000000000002</v>
      </c>
      <c r="AI39" s="22">
        <v>0.32100000000000001</v>
      </c>
      <c r="AJ39" s="22">
        <v>0.96399999999999997</v>
      </c>
      <c r="AK39" s="22">
        <v>0.64200000000000002</v>
      </c>
      <c r="AL39" s="22">
        <v>0.55500000000000005</v>
      </c>
      <c r="AM39" s="22">
        <v>0.92100000000000004</v>
      </c>
      <c r="AN39" s="22">
        <v>0.93100000000000005</v>
      </c>
      <c r="AO39" s="22">
        <v>0.91200000000000003</v>
      </c>
      <c r="AP39" s="22">
        <v>-1.9E-2</v>
      </c>
      <c r="AQ39" s="22">
        <v>0.63</v>
      </c>
    </row>
    <row r="40" spans="1:43">
      <c r="A40" s="3">
        <v>45643</v>
      </c>
      <c r="B40" s="4" t="s">
        <v>22</v>
      </c>
      <c r="C40">
        <v>22.5</v>
      </c>
      <c r="D40" s="7">
        <f t="shared" si="0"/>
        <v>0.78397212543554007</v>
      </c>
      <c r="E40">
        <v>0.6</v>
      </c>
      <c r="F40" s="10">
        <f t="shared" si="13"/>
        <v>0.17199999999999999</v>
      </c>
      <c r="G40" s="10">
        <f t="shared" si="14"/>
        <v>0.77200000000000002</v>
      </c>
      <c r="I40" t="s">
        <v>110</v>
      </c>
      <c r="J40" s="8">
        <v>0.1875</v>
      </c>
      <c r="K40" s="8">
        <v>0.22222222222222221</v>
      </c>
      <c r="L40">
        <v>300</v>
      </c>
      <c r="M40" s="11">
        <f>(N40+O40)/2</f>
        <v>0.52280858676207509</v>
      </c>
      <c r="N40" s="11">
        <f t="shared" ref="N39:N40" si="19">(R40+X40)/(R40+S40+X40+Y40)</f>
        <v>0.11538461538461539</v>
      </c>
      <c r="O40" s="11">
        <f t="shared" ref="O39:O40" si="20">(U40+AA40)/(U40+V40+AA40+AB40)</f>
        <v>0.93023255813953487</v>
      </c>
      <c r="P40" s="11">
        <f t="shared" ref="P39:P40" si="21">O40-N40</f>
        <v>0.81484794275491945</v>
      </c>
      <c r="Q40" s="11">
        <f t="shared" ref="Q39:Q41" si="22">(R40+S40+U40+V40+X40+Y40+AA40+AB40)/(R40+S40+U40+V40+X40+Y40+AA40+AB40+W40+Z40+AC40+T40)</f>
        <v>0.23</v>
      </c>
      <c r="R40">
        <v>3</v>
      </c>
      <c r="S40">
        <v>23</v>
      </c>
      <c r="T40">
        <v>124</v>
      </c>
      <c r="U40">
        <v>40</v>
      </c>
      <c r="V40">
        <v>3</v>
      </c>
      <c r="W40">
        <v>107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66</v>
      </c>
      <c r="AE40">
        <v>541</v>
      </c>
      <c r="AF40">
        <v>4</v>
      </c>
      <c r="AH40" s="22">
        <v>0.70299999999999996</v>
      </c>
      <c r="AI40" s="22">
        <v>0.433</v>
      </c>
      <c r="AJ40" s="22">
        <v>0.97299999999999998</v>
      </c>
      <c r="AK40" s="22">
        <v>0.54</v>
      </c>
      <c r="AL40" s="22">
        <v>0.52500000000000002</v>
      </c>
      <c r="AM40" s="22">
        <v>0.79</v>
      </c>
      <c r="AN40" s="22">
        <v>0.94299999999999995</v>
      </c>
      <c r="AO40" s="22">
        <v>0.63600000000000001</v>
      </c>
      <c r="AP40" s="22">
        <v>-0.30599999999999999</v>
      </c>
      <c r="AQ40" s="22">
        <v>0.68</v>
      </c>
    </row>
    <row r="41" spans="1:43">
      <c r="A41" s="3">
        <v>45644</v>
      </c>
      <c r="B41" s="4" t="s">
        <v>24</v>
      </c>
      <c r="C41">
        <v>22.6</v>
      </c>
      <c r="D41" s="7">
        <f t="shared" si="0"/>
        <v>0.78745644599303144</v>
      </c>
      <c r="E41">
        <v>0.9</v>
      </c>
      <c r="F41" s="10">
        <f t="shared" si="13"/>
        <v>7.8E-2</v>
      </c>
      <c r="G41" s="10">
        <f t="shared" si="14"/>
        <v>0.97799999999999998</v>
      </c>
      <c r="I41" t="s">
        <v>110</v>
      </c>
      <c r="J41" s="8">
        <v>9.375E-2</v>
      </c>
      <c r="K41" s="8">
        <v>0.13541666666666666</v>
      </c>
      <c r="L41">
        <v>300</v>
      </c>
      <c r="M41" s="11">
        <f>(N41+O41)/2</f>
        <v>0.55681818181818188</v>
      </c>
      <c r="N41" s="11">
        <f t="shared" ref="N41" si="23">(R41+X41)/(R41+S41+X41+Y41)</f>
        <v>0.36363636363636365</v>
      </c>
      <c r="O41" s="11">
        <f t="shared" ref="O41" si="24">(U41+AA41)/(U41+V41+AA41+AB41)</f>
        <v>0.75</v>
      </c>
      <c r="P41" s="11">
        <f t="shared" ref="P40:P41" si="25">O41-N41</f>
        <v>0.38636363636363635</v>
      </c>
      <c r="Q41" s="11">
        <f t="shared" si="22"/>
        <v>0.115</v>
      </c>
      <c r="R41">
        <v>4</v>
      </c>
      <c r="S41">
        <v>7</v>
      </c>
      <c r="T41">
        <v>89</v>
      </c>
      <c r="U41">
        <v>9</v>
      </c>
      <c r="V41">
        <v>3</v>
      </c>
      <c r="W41">
        <v>88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44</v>
      </c>
      <c r="AE41">
        <v>113</v>
      </c>
      <c r="AF41">
        <v>6</v>
      </c>
      <c r="AG41" t="s">
        <v>163</v>
      </c>
      <c r="AH41" s="22">
        <v>0.78800000000000003</v>
      </c>
      <c r="AI41" s="22">
        <v>0.65600000000000003</v>
      </c>
      <c r="AJ41" s="22">
        <v>0.92</v>
      </c>
      <c r="AK41" s="22">
        <v>0.26400000000000001</v>
      </c>
      <c r="AL41" s="22">
        <v>0.6</v>
      </c>
      <c r="AM41" s="22">
        <v>0.72899999999999998</v>
      </c>
      <c r="AN41" s="22">
        <v>1</v>
      </c>
      <c r="AO41" s="22">
        <v>0.45700000000000002</v>
      </c>
      <c r="AP41" s="22">
        <v>-0.54300000000000004</v>
      </c>
      <c r="AQ41" s="22">
        <v>0.71</v>
      </c>
    </row>
    <row r="42" spans="1:43">
      <c r="A42" s="3">
        <v>45645</v>
      </c>
      <c r="B42" s="4" t="s">
        <v>26</v>
      </c>
      <c r="C42">
        <v>23</v>
      </c>
      <c r="D42" s="7">
        <f t="shared" si="0"/>
        <v>0.80139372822299648</v>
      </c>
      <c r="E42">
        <v>0.5</v>
      </c>
      <c r="F42" s="10">
        <f t="shared" si="13"/>
        <v>0.248</v>
      </c>
      <c r="G42" s="10">
        <f t="shared" si="14"/>
        <v>0.748</v>
      </c>
      <c r="I42" t="s">
        <v>164</v>
      </c>
      <c r="J42" s="8">
        <v>8.8888888888888892E-2</v>
      </c>
      <c r="L42">
        <v>269</v>
      </c>
      <c r="M42" s="11">
        <f>(N42+O42)/2</f>
        <v>0.56685823754789277</v>
      </c>
      <c r="N42" s="11">
        <f t="shared" ref="N42" si="26">(R42+X42)/(R42+S42+X42+Y42)</f>
        <v>0.28888888888888886</v>
      </c>
      <c r="O42" s="11">
        <f t="shared" ref="O42" si="27">(U42+AA42)/(U42+V42+AA42+AB42)</f>
        <v>0.84482758620689657</v>
      </c>
      <c r="P42" s="11">
        <f t="shared" ref="P42" si="28">O42-N42</f>
        <v>0.55593869731800771</v>
      </c>
      <c r="Q42" s="11">
        <f t="shared" ref="Q42" si="29">(R42+S42+U42+V42+X42+Y42+AA42+AB42)/(R42+S42+U42+V42+X42+Y42+AA42+AB42+W42+Z42+AC42+T42)</f>
        <v>0.38289962825278812</v>
      </c>
      <c r="R42">
        <v>13</v>
      </c>
      <c r="S42">
        <v>32</v>
      </c>
      <c r="T42">
        <v>93</v>
      </c>
      <c r="U42">
        <v>49</v>
      </c>
      <c r="V42">
        <v>9</v>
      </c>
      <c r="W42">
        <v>71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214</v>
      </c>
      <c r="AE42">
        <v>324</v>
      </c>
      <c r="AF42">
        <v>4</v>
      </c>
    </row>
    <row r="43" spans="1:43">
      <c r="A43" s="3">
        <v>45646</v>
      </c>
      <c r="B43" s="4" t="s">
        <v>27</v>
      </c>
      <c r="C43">
        <v>23.3</v>
      </c>
      <c r="D43" s="7">
        <f t="shared" si="0"/>
        <v>0.81184668989547037</v>
      </c>
      <c r="E43">
        <v>0</v>
      </c>
      <c r="F43" s="10">
        <f t="shared" ref="F43" si="30">(R43+U43+X43+AA43)*AF43/1000</f>
        <v>0.3</v>
      </c>
      <c r="G43" s="10">
        <f t="shared" ref="G43" si="31">E43+F43</f>
        <v>0.3</v>
      </c>
      <c r="I43" t="s">
        <v>164</v>
      </c>
      <c r="J43" s="8">
        <v>0.1701388888888889</v>
      </c>
      <c r="L43">
        <v>300</v>
      </c>
      <c r="M43" s="11">
        <f>(N43+O43)/2</f>
        <v>0.5163239538239538</v>
      </c>
      <c r="N43" s="11">
        <f t="shared" ref="N43" si="32">(R43+X43)/(R43+S43+X43+Y43)</f>
        <v>0.12987012987012986</v>
      </c>
      <c r="O43" s="11">
        <f t="shared" ref="O43" si="33">(U43+AA43)/(U43+V43+AA43+AB43)</f>
        <v>0.90277777777777779</v>
      </c>
      <c r="P43" s="11">
        <f t="shared" ref="P43" si="34">O43-N43</f>
        <v>0.77290764790764799</v>
      </c>
      <c r="Q43" s="11">
        <f t="shared" ref="Q43" si="35">(R43+S43+U43+V43+X43+Y43+AA43+AB43)/(R43+S43+U43+V43+X43+Y43+AA43+AB43+W43+Z43+AC43+T43)</f>
        <v>0.49666666666666665</v>
      </c>
      <c r="R43">
        <v>10</v>
      </c>
      <c r="S43">
        <v>46</v>
      </c>
      <c r="T43">
        <v>65</v>
      </c>
      <c r="U43">
        <v>65</v>
      </c>
      <c r="V43">
        <v>7</v>
      </c>
      <c r="W43">
        <v>40</v>
      </c>
      <c r="X43">
        <v>0</v>
      </c>
      <c r="Y43">
        <v>21</v>
      </c>
      <c r="Z43">
        <v>46</v>
      </c>
      <c r="AA43">
        <v>0</v>
      </c>
      <c r="AB43">
        <v>0</v>
      </c>
      <c r="AC43">
        <v>0</v>
      </c>
      <c r="AD43">
        <v>282</v>
      </c>
      <c r="AE43">
        <v>678</v>
      </c>
      <c r="AF43">
        <v>4</v>
      </c>
      <c r="AG43" t="s">
        <v>165</v>
      </c>
    </row>
    <row r="44" spans="1:43">
      <c r="A44" s="3">
        <v>45647</v>
      </c>
      <c r="B44" s="4" t="s">
        <v>28</v>
      </c>
      <c r="C44">
        <v>22.5</v>
      </c>
      <c r="D44" s="7">
        <f t="shared" si="0"/>
        <v>0.78397212543554007</v>
      </c>
      <c r="E44">
        <v>0.7</v>
      </c>
      <c r="F44" s="10">
        <f t="shared" ref="F44" si="36">(R44+U44+X44+AA44)*AF44/1000</f>
        <v>0.3</v>
      </c>
      <c r="G44" s="10">
        <f t="shared" ref="G44:G45" si="37">E44+F44</f>
        <v>1</v>
      </c>
      <c r="I44" t="s">
        <v>110</v>
      </c>
      <c r="J44" s="8">
        <v>0.3125</v>
      </c>
      <c r="L44">
        <v>300</v>
      </c>
      <c r="M44" s="11">
        <f>(N44+O44)/2</f>
        <v>0.52788479178132452</v>
      </c>
      <c r="N44" s="11">
        <f t="shared" ref="N44" si="38">(R44+X44)/(R44+S44+X44+Y44)</f>
        <v>0.21518987341772153</v>
      </c>
      <c r="O44" s="11">
        <f t="shared" ref="O44" si="39">(U44+AA44)/(U44+V44+AA44+AB44)</f>
        <v>0.84057971014492749</v>
      </c>
      <c r="P44" s="11">
        <f t="shared" ref="P44" si="40">O44-N44</f>
        <v>0.62538983672720594</v>
      </c>
      <c r="Q44" s="11">
        <f t="shared" ref="Q44" si="41">(R44+S44+U44+V44+X44+Y44+AA44+AB44)/(R44+S44+U44+V44+X44+Y44+AA44+AB44+W44+Z44+AC44+T44)</f>
        <v>0.49333333333333335</v>
      </c>
      <c r="R44">
        <v>13</v>
      </c>
      <c r="S44">
        <v>49</v>
      </c>
      <c r="T44">
        <v>71</v>
      </c>
      <c r="U44">
        <v>57</v>
      </c>
      <c r="V44">
        <v>11</v>
      </c>
      <c r="W44">
        <v>66</v>
      </c>
      <c r="X44">
        <v>4</v>
      </c>
      <c r="Y44">
        <v>13</v>
      </c>
      <c r="Z44">
        <v>15</v>
      </c>
      <c r="AA44">
        <v>1</v>
      </c>
      <c r="AB44">
        <v>0</v>
      </c>
      <c r="AC44">
        <v>0</v>
      </c>
      <c r="AD44">
        <v>299</v>
      </c>
      <c r="AE44">
        <v>752</v>
      </c>
      <c r="AF44">
        <v>4</v>
      </c>
    </row>
    <row r="45" spans="1:43">
      <c r="A45" s="3">
        <v>45648</v>
      </c>
      <c r="B45" s="4" t="s">
        <v>29</v>
      </c>
      <c r="C45">
        <v>22.9</v>
      </c>
      <c r="D45" s="7">
        <f t="shared" si="0"/>
        <v>0.79790940766550522</v>
      </c>
      <c r="E45">
        <v>1</v>
      </c>
      <c r="F45" s="10"/>
      <c r="G45" s="10">
        <f t="shared" si="37"/>
        <v>1</v>
      </c>
      <c r="I45" t="s">
        <v>113</v>
      </c>
    </row>
    <row r="46" spans="1:43">
      <c r="A46" s="3">
        <v>45649</v>
      </c>
      <c r="B46" s="4" t="s">
        <v>19</v>
      </c>
      <c r="C46">
        <v>22.5</v>
      </c>
      <c r="D46" s="7">
        <f>C46/$C$2</f>
        <v>0.78397212543554007</v>
      </c>
      <c r="E46">
        <v>0.5</v>
      </c>
      <c r="F46" s="10">
        <f>(R46+U46+X46+AA46)*AF46/1000</f>
        <v>0.40799999999999997</v>
      </c>
      <c r="G46" s="10">
        <f>E46+F46</f>
        <v>0.90799999999999992</v>
      </c>
      <c r="I46" t="s">
        <v>110</v>
      </c>
      <c r="J46" s="8">
        <v>0.12847222222222221</v>
      </c>
      <c r="K46" s="8">
        <v>0.16319444444444445</v>
      </c>
      <c r="L46">
        <v>300</v>
      </c>
      <c r="M46" s="11">
        <f>(N46+O46)/2</f>
        <v>0.54017595307917887</v>
      </c>
      <c r="N46" s="11">
        <f t="shared" ref="N46" si="42">(R46+X46)/(R46+S46+X46+Y46)</f>
        <v>0.22580645161290322</v>
      </c>
      <c r="O46" s="11">
        <f t="shared" ref="O46" si="43">(U46+AA46)/(U46+V46+AA46+AB46)</f>
        <v>0.8545454545454545</v>
      </c>
      <c r="P46" s="11">
        <f t="shared" ref="P46" si="44">O46-N46</f>
        <v>0.62873900293255125</v>
      </c>
      <c r="Q46" s="11">
        <f t="shared" ref="Q46" si="45">(R46+S46+U46+V46+X46+Y46+AA46+AB46)/(R46+S46+U46+V46+X46+Y46+AA46+AB46+W46+Z46+AC46+T46)</f>
        <v>0.49333333333333335</v>
      </c>
      <c r="R46">
        <v>17</v>
      </c>
      <c r="S46">
        <v>35</v>
      </c>
      <c r="T46">
        <v>61</v>
      </c>
      <c r="U46">
        <v>47</v>
      </c>
      <c r="V46">
        <v>8</v>
      </c>
      <c r="W46">
        <v>46</v>
      </c>
      <c r="X46">
        <v>4</v>
      </c>
      <c r="Y46">
        <v>37</v>
      </c>
      <c r="Z46">
        <v>45</v>
      </c>
      <c r="AA46">
        <v>0</v>
      </c>
      <c r="AB46">
        <v>0</v>
      </c>
      <c r="AC46">
        <v>0</v>
      </c>
      <c r="AD46">
        <v>273</v>
      </c>
      <c r="AE46">
        <v>598</v>
      </c>
      <c r="AF46">
        <v>6</v>
      </c>
    </row>
    <row r="47" spans="1:43">
      <c r="A47" s="3">
        <v>45650</v>
      </c>
      <c r="B47" s="4" t="s">
        <v>22</v>
      </c>
      <c r="C47">
        <v>22.5</v>
      </c>
      <c r="D47" s="7">
        <f t="shared" si="0"/>
        <v>0.78397212543554007</v>
      </c>
      <c r="E47">
        <v>0.3</v>
      </c>
      <c r="I47" t="s">
        <v>110</v>
      </c>
      <c r="L47">
        <v>300</v>
      </c>
      <c r="M47" s="11">
        <f>(N47+O47)/2</f>
        <v>0.61796281749148996</v>
      </c>
      <c r="N47" s="11">
        <f>(R47+X47)/(R47+S47+X47+Y47)</f>
        <v>0.2807017543859649</v>
      </c>
      <c r="O47" s="11">
        <f>(U47+AA47)/(U47+V47+AA47+AB47)</f>
        <v>0.95522388059701491</v>
      </c>
      <c r="P47" s="11">
        <f t="shared" ref="P47" si="46">O47-N47</f>
        <v>0.67452212621105001</v>
      </c>
      <c r="Q47" s="11">
        <f>(R47+S47+U47+V47+X47+Y47+AA47+AB47)/(R47+S47+U47+V47+X47+Y47+AA47+AB47+W47+Z47+AC47+T47)</f>
        <v>0.42465753424657532</v>
      </c>
      <c r="R47">
        <v>9</v>
      </c>
      <c r="S47">
        <v>31</v>
      </c>
      <c r="T47">
        <v>59</v>
      </c>
      <c r="U47">
        <v>42</v>
      </c>
      <c r="V47">
        <v>2</v>
      </c>
      <c r="W47">
        <v>51</v>
      </c>
      <c r="X47">
        <v>7</v>
      </c>
      <c r="Y47">
        <v>10</v>
      </c>
      <c r="Z47">
        <v>33</v>
      </c>
      <c r="AA47">
        <v>22</v>
      </c>
      <c r="AB47">
        <v>1</v>
      </c>
      <c r="AC47">
        <v>25</v>
      </c>
      <c r="AD47">
        <v>193</v>
      </c>
      <c r="AE47">
        <v>571</v>
      </c>
      <c r="AF47">
        <v>6</v>
      </c>
    </row>
    <row r="48" spans="1:43">
      <c r="A48" s="3">
        <v>45651</v>
      </c>
      <c r="B48" s="4" t="s">
        <v>24</v>
      </c>
      <c r="C48">
        <v>22.2</v>
      </c>
      <c r="D48" s="7">
        <f t="shared" ref="D48" si="47">C48/$C$2</f>
        <v>0.77351916376306618</v>
      </c>
      <c r="I48" t="s">
        <v>110</v>
      </c>
      <c r="J48" s="8">
        <v>0.51736111111111116</v>
      </c>
      <c r="L48">
        <v>60</v>
      </c>
      <c r="M48" s="11">
        <f>(N48+O48)/2</f>
        <v>0.70588235294117641</v>
      </c>
      <c r="N48" s="11">
        <f>(R48+X48)/(R48+S48+X48+Y48)</f>
        <v>0.41176470588235292</v>
      </c>
      <c r="O48" s="11">
        <f>(U48+AA48)/(U48+V48+AA48+AB48)</f>
        <v>1</v>
      </c>
      <c r="P48" s="11">
        <f t="shared" ref="P48" si="48">O48-N48</f>
        <v>0.58823529411764708</v>
      </c>
      <c r="Q48" s="11">
        <f>(R48+S48+U48+V48+X48+Y48+AA48+AB48)/(R48+S48+U48+V48+X48+Y48+AA48+AB48+W48+Z48+AC48+T48)</f>
        <v>0.53333333333333333</v>
      </c>
      <c r="R48">
        <v>7</v>
      </c>
      <c r="S48">
        <v>10</v>
      </c>
      <c r="T48">
        <v>15</v>
      </c>
      <c r="U48">
        <v>15</v>
      </c>
      <c r="V48">
        <v>0</v>
      </c>
      <c r="W48">
        <v>8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60</v>
      </c>
      <c r="AE48">
        <v>86</v>
      </c>
      <c r="AF48">
        <v>6</v>
      </c>
      <c r="AG48" t="s">
        <v>166</v>
      </c>
    </row>
    <row r="49" spans="1:33" ht="29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2" t="s">
        <v>67</v>
      </c>
      <c r="N49" s="1" t="s">
        <v>68</v>
      </c>
      <c r="O49" s="1" t="s">
        <v>69</v>
      </c>
      <c r="P49" s="1" t="s">
        <v>70</v>
      </c>
      <c r="Q49" s="1" t="s">
        <v>71</v>
      </c>
      <c r="R49" s="2" t="s">
        <v>72</v>
      </c>
      <c r="S49" s="2" t="s">
        <v>73</v>
      </c>
      <c r="T49" s="2" t="s">
        <v>74</v>
      </c>
      <c r="U49" s="2" t="s">
        <v>75</v>
      </c>
      <c r="V49" s="2" t="s">
        <v>76</v>
      </c>
      <c r="W49" s="2" t="s">
        <v>77</v>
      </c>
      <c r="X49" s="2" t="s">
        <v>72</v>
      </c>
      <c r="Y49" s="2" t="s">
        <v>73</v>
      </c>
      <c r="Z49" s="2" t="s">
        <v>74</v>
      </c>
      <c r="AA49" s="2" t="s">
        <v>75</v>
      </c>
      <c r="AB49" s="2" t="s">
        <v>76</v>
      </c>
      <c r="AC49" s="2" t="s">
        <v>77</v>
      </c>
      <c r="AD49" s="1" t="s">
        <v>13</v>
      </c>
      <c r="AE49" s="1" t="s">
        <v>14</v>
      </c>
      <c r="AF49" s="1" t="s">
        <v>80</v>
      </c>
      <c r="AG49" s="1" t="s">
        <v>17</v>
      </c>
    </row>
    <row r="50" spans="1:33">
      <c r="A50" s="3">
        <v>45651</v>
      </c>
      <c r="B50" s="4" t="s">
        <v>24</v>
      </c>
      <c r="C50">
        <v>22.2</v>
      </c>
      <c r="D50" s="7">
        <f t="shared" si="0"/>
        <v>0.77351916376306618</v>
      </c>
      <c r="E50">
        <v>0.5</v>
      </c>
      <c r="F50" s="10">
        <f t="shared" ref="F50:F51" si="49">(R50+U50+X50+AA50)*AF50/1000</f>
        <v>0.51600000000000001</v>
      </c>
      <c r="G50" s="10">
        <f t="shared" ref="G50:G51" si="50">E50+F50</f>
        <v>1.016</v>
      </c>
      <c r="I50" t="s">
        <v>167</v>
      </c>
      <c r="J50" s="8">
        <v>0.52430555555555558</v>
      </c>
      <c r="K50" s="8">
        <v>5.5555555555555552E-2</v>
      </c>
      <c r="L50">
        <v>270</v>
      </c>
      <c r="M50" s="11">
        <f>(N50+O50)/2</f>
        <v>0.73170731707317072</v>
      </c>
      <c r="N50" s="11">
        <f>(R50+X50)/(R50+S50+X50+Y50)</f>
        <v>0.46341463414634149</v>
      </c>
      <c r="O50" s="11">
        <f>(U50+AA50)/(U50+V50+AA50+AB50)</f>
        <v>1</v>
      </c>
      <c r="P50" s="11">
        <f t="shared" ref="P50" si="51">O50-N50</f>
        <v>0.53658536585365857</v>
      </c>
      <c r="Q50" s="11">
        <f>(R50+S50+U50+V50+X50+Y50+AA50+AB50)/(R50+S50+U50+V50+X50+Y50+AA50+AB50+W50+Z50+AC50+T50)</f>
        <v>0.4</v>
      </c>
      <c r="R50">
        <v>5</v>
      </c>
      <c r="S50">
        <v>20</v>
      </c>
      <c r="T50">
        <v>65</v>
      </c>
      <c r="U50">
        <v>59</v>
      </c>
      <c r="V50">
        <v>0</v>
      </c>
      <c r="W50">
        <v>31</v>
      </c>
      <c r="X50">
        <v>14</v>
      </c>
      <c r="Y50">
        <v>2</v>
      </c>
      <c r="Z50">
        <v>29</v>
      </c>
      <c r="AA50">
        <v>8</v>
      </c>
      <c r="AB50">
        <v>0</v>
      </c>
      <c r="AC50">
        <v>37</v>
      </c>
      <c r="AD50">
        <v>137</v>
      </c>
      <c r="AE50">
        <v>326</v>
      </c>
      <c r="AF50">
        <v>6</v>
      </c>
      <c r="AG50" t="s">
        <v>168</v>
      </c>
    </row>
    <row r="51" spans="1:33">
      <c r="A51" s="3">
        <v>45652</v>
      </c>
      <c r="B51" s="4" t="s">
        <v>26</v>
      </c>
      <c r="C51">
        <v>22.6</v>
      </c>
      <c r="D51" s="7">
        <f t="shared" si="0"/>
        <v>0.78745644599303144</v>
      </c>
      <c r="E51">
        <v>0.5</v>
      </c>
      <c r="F51" s="10">
        <f t="shared" si="49"/>
        <v>0.44400000000000001</v>
      </c>
      <c r="G51" s="10">
        <f t="shared" si="50"/>
        <v>0.94399999999999995</v>
      </c>
      <c r="I51" t="s">
        <v>167</v>
      </c>
      <c r="J51" s="8">
        <v>0.15972222222222221</v>
      </c>
      <c r="K51" s="8">
        <v>0.19305555555555556</v>
      </c>
      <c r="L51">
        <v>300</v>
      </c>
      <c r="M51" s="11">
        <f>(N51+O51)/2</f>
        <v>0.71299411269974766</v>
      </c>
      <c r="N51" s="11">
        <f>(R51+X51)/(R51+S51+X51+Y51)</f>
        <v>0.51219512195121952</v>
      </c>
      <c r="O51" s="11">
        <f>(U51+AA51)/(U51+V51+AA51+AB51)</f>
        <v>0.91379310344827591</v>
      </c>
      <c r="P51" s="11">
        <f t="shared" ref="P51" si="52">O51-N51</f>
        <v>0.40159798149705639</v>
      </c>
      <c r="Q51" s="11">
        <f>(R51+S51+U51+V51+X51+Y51+AA51+AB51)/(R51+S51+U51+V51+X51+Y51+AA51+AB51+W51+Z51+AC51+T51)</f>
        <v>0.33</v>
      </c>
      <c r="R51">
        <v>9</v>
      </c>
      <c r="S51">
        <v>19</v>
      </c>
      <c r="T51">
        <v>72</v>
      </c>
      <c r="U51">
        <v>43</v>
      </c>
      <c r="V51">
        <v>0</v>
      </c>
      <c r="W51">
        <v>57</v>
      </c>
      <c r="X51">
        <v>12</v>
      </c>
      <c r="Y51">
        <v>1</v>
      </c>
      <c r="Z51">
        <v>37</v>
      </c>
      <c r="AA51">
        <v>10</v>
      </c>
      <c r="AB51">
        <v>5</v>
      </c>
      <c r="AC51">
        <v>35</v>
      </c>
      <c r="AD51">
        <v>232</v>
      </c>
      <c r="AE51">
        <v>277</v>
      </c>
      <c r="AF51">
        <v>6</v>
      </c>
    </row>
    <row r="52" spans="1:33">
      <c r="A52" s="3">
        <v>45653</v>
      </c>
      <c r="B52" s="4" t="s">
        <v>27</v>
      </c>
      <c r="C52">
        <v>22.5</v>
      </c>
      <c r="D52" s="7">
        <f t="shared" si="0"/>
        <v>0.78397212543554007</v>
      </c>
      <c r="E52">
        <v>0.1</v>
      </c>
      <c r="F52" s="10">
        <f t="shared" ref="F52" si="53">(R52+U52+X52+AA52)*AF52/1000</f>
        <v>0.86399999999999999</v>
      </c>
      <c r="G52" s="10">
        <f t="shared" ref="G52" si="54">E52+F52</f>
        <v>0.96399999999999997</v>
      </c>
      <c r="I52" t="s">
        <v>167</v>
      </c>
      <c r="J52" s="8">
        <v>0.1736111111111111</v>
      </c>
      <c r="K52" s="8">
        <v>0.20416666666666666</v>
      </c>
      <c r="L52">
        <v>300</v>
      </c>
      <c r="M52" s="11">
        <f>(N52+O52)/2</f>
        <v>0.80241327300150833</v>
      </c>
      <c r="N52" s="11">
        <f>(R52+X52)/(R52+S52+X52+Y52)</f>
        <v>0.82051282051282048</v>
      </c>
      <c r="O52" s="11">
        <f>(U52+AA52)/(U52+V52+AA52+AB52)</f>
        <v>0.78431372549019607</v>
      </c>
      <c r="P52" s="11">
        <f t="shared" ref="P52" si="55">O52-N52</f>
        <v>-3.6199095022624417E-2</v>
      </c>
      <c r="Q52" s="11">
        <f>(R52+S52+U52+V52+X52+Y52+AA52+AB52)/(R52+S52+U52+V52+X52+Y52+AA52+AB52+W52+Z52+AC52+T52)</f>
        <v>0.6</v>
      </c>
      <c r="R52">
        <v>25</v>
      </c>
      <c r="S52">
        <v>11</v>
      </c>
      <c r="T52">
        <v>64</v>
      </c>
      <c r="U52">
        <v>70</v>
      </c>
      <c r="V52">
        <v>1</v>
      </c>
      <c r="W52">
        <v>29</v>
      </c>
      <c r="X52">
        <v>39</v>
      </c>
      <c r="Y52">
        <v>3</v>
      </c>
      <c r="Z52">
        <v>8</v>
      </c>
      <c r="AA52">
        <v>10</v>
      </c>
      <c r="AB52">
        <v>21</v>
      </c>
      <c r="AC52">
        <v>19</v>
      </c>
      <c r="AD52">
        <v>278</v>
      </c>
      <c r="AE52">
        <v>308</v>
      </c>
      <c r="AF52">
        <v>6</v>
      </c>
    </row>
    <row r="53" spans="1:33">
      <c r="A53" s="3">
        <v>45654</v>
      </c>
      <c r="B53" s="4" t="s">
        <v>28</v>
      </c>
      <c r="C53">
        <v>22.7</v>
      </c>
      <c r="D53" s="7">
        <f t="shared" si="0"/>
        <v>0.79094076655052259</v>
      </c>
      <c r="E53">
        <v>1</v>
      </c>
      <c r="I53" t="s">
        <v>169</v>
      </c>
    </row>
    <row r="54" spans="1:33">
      <c r="A54" s="3">
        <v>45655</v>
      </c>
      <c r="B54" s="4" t="s">
        <v>29</v>
      </c>
      <c r="C54">
        <v>22.4</v>
      </c>
      <c r="E54">
        <v>1.5</v>
      </c>
      <c r="I54" t="s">
        <v>169</v>
      </c>
    </row>
    <row r="55" spans="1:33">
      <c r="A55" s="3">
        <v>45656</v>
      </c>
      <c r="B55" s="4" t="s">
        <v>19</v>
      </c>
      <c r="C55">
        <v>23.3</v>
      </c>
      <c r="D55" s="7">
        <f t="shared" si="0"/>
        <v>0.81184668989547037</v>
      </c>
      <c r="E55">
        <v>0</v>
      </c>
      <c r="F55">
        <v>0.78</v>
      </c>
      <c r="I55" t="s">
        <v>167</v>
      </c>
      <c r="J55" s="12" t="s">
        <v>170</v>
      </c>
      <c r="L55">
        <v>300</v>
      </c>
      <c r="M55" s="11">
        <f>(N55+O55)/2</f>
        <v>0.79014844804318485</v>
      </c>
      <c r="N55" s="11">
        <f>(R55+X55)/(R55+S55+X55+Y55)</f>
        <v>0.63157894736842102</v>
      </c>
      <c r="O55" s="11">
        <f>(U55+AA55)/(U55+V55+AA55+AB55)</f>
        <v>0.94871794871794868</v>
      </c>
      <c r="P55" s="11">
        <f t="shared" ref="P55" si="56">O55-N55</f>
        <v>0.31713900134952766</v>
      </c>
      <c r="Q55" s="11">
        <f>(R55+S55+U55+V55+X55+Y55+AA55+AB55)/(R55+S55+U55+V55+X55+Y55+AA55+AB55+W55+Z55+AC55+T55)</f>
        <v>0.57999999999999996</v>
      </c>
      <c r="R55">
        <v>9</v>
      </c>
      <c r="S55">
        <v>19</v>
      </c>
      <c r="T55">
        <v>78</v>
      </c>
      <c r="U55">
        <v>80</v>
      </c>
      <c r="V55">
        <v>3</v>
      </c>
      <c r="W55">
        <v>11</v>
      </c>
      <c r="X55">
        <v>27</v>
      </c>
      <c r="Y55">
        <v>2</v>
      </c>
      <c r="Z55">
        <v>24</v>
      </c>
      <c r="AA55">
        <v>31</v>
      </c>
      <c r="AB55">
        <v>3</v>
      </c>
      <c r="AC55">
        <v>13</v>
      </c>
      <c r="AD55">
        <v>128</v>
      </c>
      <c r="AE55">
        <v>427</v>
      </c>
      <c r="AF55">
        <v>6</v>
      </c>
    </row>
    <row r="56" spans="1:33">
      <c r="A56" s="3">
        <v>45657</v>
      </c>
      <c r="B56" s="4" t="s">
        <v>22</v>
      </c>
      <c r="C56">
        <v>23.3</v>
      </c>
      <c r="D56" s="7">
        <f t="shared" si="0"/>
        <v>0.81184668989547037</v>
      </c>
      <c r="I56" t="s">
        <v>167</v>
      </c>
      <c r="J56" t="s">
        <v>171</v>
      </c>
      <c r="L56">
        <v>300</v>
      </c>
      <c r="M56" s="11">
        <f>(N56+O56)/2</f>
        <v>0.78903133903133904</v>
      </c>
      <c r="N56" s="11">
        <f>(R56+X56)/(R56+S56+X56+Y56)</f>
        <v>0.70769230769230773</v>
      </c>
      <c r="O56" s="11">
        <f>(U56+AA56)/(U56+V56+AA56+AB56)</f>
        <v>0.87037037037037035</v>
      </c>
      <c r="P56" s="11">
        <f t="shared" ref="P56" si="57">O56-N56</f>
        <v>0.16267806267806262</v>
      </c>
      <c r="Q56" s="11">
        <f>(R56+S56+U56+V56+X56+Y56+AA56+AB56)/(R56+S56+U56+V56+X56+Y56+AA56+AB56+W56+Z56+AC56+T56)</f>
        <v>0.57666666666666666</v>
      </c>
      <c r="R56">
        <v>13</v>
      </c>
      <c r="S56">
        <v>17</v>
      </c>
      <c r="T56">
        <v>86</v>
      </c>
      <c r="U56">
        <v>73</v>
      </c>
      <c r="V56">
        <v>2</v>
      </c>
      <c r="W56">
        <v>9</v>
      </c>
      <c r="X56">
        <v>33</v>
      </c>
      <c r="Y56">
        <v>2</v>
      </c>
      <c r="Z56">
        <v>23</v>
      </c>
      <c r="AA56">
        <v>21</v>
      </c>
      <c r="AB56">
        <v>12</v>
      </c>
      <c r="AC56">
        <v>9</v>
      </c>
      <c r="AD56">
        <v>142</v>
      </c>
      <c r="AE56">
        <v>554</v>
      </c>
      <c r="AF56">
        <v>6</v>
      </c>
    </row>
    <row r="57" spans="1:33">
      <c r="A57" s="3">
        <v>45658</v>
      </c>
      <c r="B57" s="4" t="s">
        <v>24</v>
      </c>
      <c r="C57">
        <v>23</v>
      </c>
      <c r="D57" s="7">
        <f t="shared" si="0"/>
        <v>0.80139372822299648</v>
      </c>
      <c r="I57" t="s">
        <v>167</v>
      </c>
      <c r="J57" s="8">
        <v>0.2048611111111111</v>
      </c>
      <c r="L57">
        <v>300</v>
      </c>
      <c r="M57" s="11">
        <f>(N57+O57)/2</f>
        <v>0.81342659014825447</v>
      </c>
      <c r="N57" s="11">
        <f>(R57+X57)/(R57+S57+X57+Y57)</f>
        <v>0.83823529411764708</v>
      </c>
      <c r="O57" s="11">
        <f>(U57+AA57)/(U57+V57+AA57+AB57)</f>
        <v>0.78861788617886175</v>
      </c>
      <c r="P57" s="11">
        <f t="shared" ref="P57" si="58">O57-N57</f>
        <v>-4.961740793878533E-2</v>
      </c>
      <c r="Q57" s="11">
        <f>(R57+S57+U57+V57+X57+Y57+AA57+AB57)/(R57+S57+U57+V57+X57+Y57+AA57+AB57+W57+Z57+AC57+T57)</f>
        <v>0.63666666666666671</v>
      </c>
      <c r="R57">
        <v>21</v>
      </c>
      <c r="S57">
        <v>11</v>
      </c>
      <c r="T57">
        <v>68</v>
      </c>
      <c r="U57">
        <v>81</v>
      </c>
      <c r="V57">
        <v>7</v>
      </c>
      <c r="W57">
        <v>12</v>
      </c>
      <c r="X57">
        <v>36</v>
      </c>
      <c r="Y57">
        <v>0</v>
      </c>
      <c r="Z57">
        <v>14</v>
      </c>
      <c r="AA57">
        <v>16</v>
      </c>
      <c r="AB57">
        <v>19</v>
      </c>
      <c r="AC57">
        <v>15</v>
      </c>
      <c r="AD57">
        <v>302</v>
      </c>
      <c r="AE57">
        <v>422</v>
      </c>
      <c r="AF57">
        <v>6</v>
      </c>
    </row>
    <row r="58" spans="1:33">
      <c r="A58" s="3">
        <v>45659</v>
      </c>
      <c r="B58" s="4" t="s">
        <v>26</v>
      </c>
      <c r="C58">
        <v>22.9</v>
      </c>
      <c r="D58" s="7">
        <f t="shared" si="0"/>
        <v>0.79790940766550522</v>
      </c>
      <c r="E58">
        <v>0.4</v>
      </c>
      <c r="I58" t="s">
        <v>172</v>
      </c>
      <c r="J58" s="8">
        <v>0.14930555555555555</v>
      </c>
    </row>
    <row r="59" spans="1:33">
      <c r="A59" s="3">
        <v>45660</v>
      </c>
      <c r="B59" s="4" t="s">
        <v>27</v>
      </c>
      <c r="C59">
        <v>23.3</v>
      </c>
      <c r="D59" s="7">
        <f t="shared" si="0"/>
        <v>0.81184668989547037</v>
      </c>
      <c r="I59" t="s">
        <v>173</v>
      </c>
      <c r="J59" s="8">
        <v>0.16250000000000001</v>
      </c>
      <c r="L59">
        <v>300</v>
      </c>
      <c r="M59" s="11">
        <f>(N59+O59)/2</f>
        <v>0.83990182328190743</v>
      </c>
      <c r="N59" s="11">
        <f>(R59+X59)/(R59+S59+X59+Y59)</f>
        <v>0.75806451612903225</v>
      </c>
      <c r="O59" s="11">
        <f>(U59+AA59)/(U59+V59+AA59+AB59)</f>
        <v>0.92173913043478262</v>
      </c>
      <c r="P59" s="11">
        <f t="shared" ref="P59" si="59">O59-N59</f>
        <v>0.16367461430575037</v>
      </c>
      <c r="Q59" s="11">
        <f>(R59+S59+U59+V59+X59+Y59+AA59+AB59)/(R59+S59+U59+V59+X59+Y59+AA59+AB59+W59+Z59+AC59+T59)</f>
        <v>0.59</v>
      </c>
      <c r="R59">
        <v>32</v>
      </c>
      <c r="S59">
        <v>12</v>
      </c>
      <c r="T59">
        <v>56</v>
      </c>
      <c r="U59">
        <v>81</v>
      </c>
      <c r="V59">
        <v>4</v>
      </c>
      <c r="W59">
        <v>15</v>
      </c>
      <c r="X59">
        <v>15</v>
      </c>
      <c r="Y59">
        <v>3</v>
      </c>
      <c r="Z59">
        <v>32</v>
      </c>
      <c r="AA59">
        <v>25</v>
      </c>
      <c r="AB59">
        <v>5</v>
      </c>
      <c r="AC59">
        <v>20</v>
      </c>
      <c r="AD59">
        <v>279</v>
      </c>
      <c r="AE59">
        <v>353</v>
      </c>
      <c r="AF59">
        <v>6</v>
      </c>
    </row>
    <row r="60" spans="1:33">
      <c r="A60" s="3">
        <v>45661</v>
      </c>
      <c r="B60" s="4" t="s">
        <v>28</v>
      </c>
      <c r="C60">
        <v>23.2</v>
      </c>
      <c r="D60" s="7">
        <f t="shared" si="0"/>
        <v>0.80836236933797911</v>
      </c>
      <c r="E60">
        <v>1.2</v>
      </c>
    </row>
    <row r="61" spans="1:33">
      <c r="A61" s="3">
        <v>45662</v>
      </c>
      <c r="B61" s="4" t="s">
        <v>29</v>
      </c>
      <c r="C61">
        <v>23.5</v>
      </c>
      <c r="D61" s="7">
        <f t="shared" si="0"/>
        <v>0.81881533101045301</v>
      </c>
      <c r="E61">
        <v>1</v>
      </c>
    </row>
    <row r="62" spans="1:33" ht="29.25">
      <c r="A62" s="3">
        <v>45663</v>
      </c>
      <c r="B62" s="4" t="s">
        <v>19</v>
      </c>
      <c r="C62">
        <v>23</v>
      </c>
      <c r="D62" s="7">
        <f t="shared" ref="D62:D65" si="60">C62/$C$2</f>
        <v>0.80139372822299648</v>
      </c>
      <c r="E62">
        <v>0.5</v>
      </c>
      <c r="I62" s="16" t="s">
        <v>174</v>
      </c>
      <c r="L62">
        <v>300</v>
      </c>
      <c r="M62" s="11">
        <f>(N62+O62)/2</f>
        <v>0.89390756302521002</v>
      </c>
      <c r="N62" s="11">
        <f>(R62+X62)/(R62+S62+X62+Y62)</f>
        <v>0.82352941176470584</v>
      </c>
      <c r="O62" s="11">
        <f>(U62+AA62)/(U62+V62+AA62+AB62)</f>
        <v>0.9642857142857143</v>
      </c>
      <c r="P62" s="11">
        <f t="shared" ref="P62" si="61">O62-N62</f>
        <v>0.14075630252100846</v>
      </c>
      <c r="Q62" s="11">
        <f>(R62+S62+U62+V62+X62+Y62+AA62+AB62)/(R62+S62+U62+V62+X62+Y62+AA62+AB62+W62+Z62+AC62+T62)</f>
        <v>0.5018587360594795</v>
      </c>
      <c r="R62">
        <v>33</v>
      </c>
      <c r="S62">
        <v>4</v>
      </c>
      <c r="T62">
        <v>68</v>
      </c>
      <c r="U62">
        <v>80</v>
      </c>
      <c r="V62">
        <v>3</v>
      </c>
      <c r="W62">
        <v>17</v>
      </c>
      <c r="X62">
        <v>9</v>
      </c>
      <c r="Y62">
        <v>5</v>
      </c>
      <c r="Z62">
        <v>49</v>
      </c>
      <c r="AA62">
        <v>1</v>
      </c>
      <c r="AB62">
        <v>0</v>
      </c>
      <c r="AC62">
        <v>0</v>
      </c>
      <c r="AD62">
        <v>214</v>
      </c>
      <c r="AE62">
        <v>204</v>
      </c>
      <c r="AF62">
        <v>6</v>
      </c>
    </row>
    <row r="63" spans="1:33">
      <c r="A63" s="3">
        <v>45664</v>
      </c>
      <c r="B63" s="4" t="s">
        <v>22</v>
      </c>
      <c r="C63">
        <v>23.1</v>
      </c>
      <c r="D63" s="7">
        <f t="shared" si="60"/>
        <v>0.80487804878048785</v>
      </c>
      <c r="I63" t="s">
        <v>172</v>
      </c>
      <c r="L63">
        <v>300</v>
      </c>
      <c r="M63" s="11">
        <f>(N63+O63)/2</f>
        <v>0.88733301142765164</v>
      </c>
      <c r="N63" s="11">
        <f>(R63+X63)/(R63+S63+X63+Y63)</f>
        <v>0.91228070175438591</v>
      </c>
      <c r="O63" s="11">
        <f>(U63+AA63)/(U63+V63+AA63+AB63)</f>
        <v>0.86238532110091748</v>
      </c>
      <c r="P63" s="11">
        <f t="shared" ref="P63" si="62">O63-N63</f>
        <v>-4.9895380653468435E-2</v>
      </c>
      <c r="Q63" s="11">
        <f>(R63+S63+U63+V63+X63+Y63+AA63+AB63)/(R63+S63+U63+V63+X63+Y63+AA63+AB63+W63+Z63+AC63+T63)</f>
        <v>0.55333333333333334</v>
      </c>
      <c r="R63">
        <v>28</v>
      </c>
      <c r="S63">
        <v>4</v>
      </c>
      <c r="T63">
        <v>68</v>
      </c>
      <c r="U63">
        <v>76</v>
      </c>
      <c r="V63">
        <v>4</v>
      </c>
      <c r="W63">
        <v>20</v>
      </c>
      <c r="X63">
        <v>24</v>
      </c>
      <c r="Y63">
        <v>1</v>
      </c>
      <c r="Z63">
        <v>25</v>
      </c>
      <c r="AA63">
        <v>18</v>
      </c>
      <c r="AB63">
        <v>11</v>
      </c>
      <c r="AC63">
        <v>21</v>
      </c>
      <c r="AD63">
        <v>235</v>
      </c>
      <c r="AE63">
        <v>210</v>
      </c>
      <c r="AF63">
        <v>6</v>
      </c>
    </row>
    <row r="64" spans="1:33">
      <c r="A64" s="3">
        <v>45665</v>
      </c>
      <c r="B64" s="4" t="s">
        <v>24</v>
      </c>
      <c r="C64">
        <v>23.3</v>
      </c>
      <c r="D64" s="7">
        <f t="shared" si="60"/>
        <v>0.81184668989547037</v>
      </c>
      <c r="I64" t="s">
        <v>175</v>
      </c>
      <c r="J64" s="8">
        <v>0.18402777777777779</v>
      </c>
      <c r="L64">
        <v>300</v>
      </c>
      <c r="M64" s="11">
        <f>(N64+O64)/2</f>
        <v>0.81708394698085418</v>
      </c>
      <c r="N64" s="11">
        <f>(R64+X64)/(R64+S64+X64+Y64)</f>
        <v>0.68571428571428572</v>
      </c>
      <c r="O64" s="11">
        <f>(U64+AA64)/(U64+V64+AA64+AB64)</f>
        <v>0.94845360824742264</v>
      </c>
      <c r="P64" s="11">
        <f t="shared" ref="P64" si="63">O64-N64</f>
        <v>0.26273932253313692</v>
      </c>
      <c r="Q64" s="11">
        <f>(R64+S64+U64+V64+X64+Y64+AA64+AB64)/(R64+S64+U64+V64+X64+Y64+AA64+AB64+W64+Z64+AC64+T64)</f>
        <v>0.44</v>
      </c>
      <c r="R64">
        <v>15</v>
      </c>
      <c r="S64">
        <v>8</v>
      </c>
      <c r="T64">
        <v>77</v>
      </c>
      <c r="U64">
        <v>64</v>
      </c>
      <c r="V64">
        <v>2</v>
      </c>
      <c r="W64">
        <v>34</v>
      </c>
      <c r="X64">
        <v>9</v>
      </c>
      <c r="Y64">
        <v>3</v>
      </c>
      <c r="Z64">
        <v>38</v>
      </c>
      <c r="AA64">
        <v>28</v>
      </c>
      <c r="AB64">
        <v>3</v>
      </c>
      <c r="AC64">
        <v>19</v>
      </c>
      <c r="AD64">
        <v>135</v>
      </c>
      <c r="AE64">
        <v>296</v>
      </c>
      <c r="AF64">
        <v>6</v>
      </c>
    </row>
    <row r="65" spans="1:32" ht="15.75" customHeight="1">
      <c r="A65" s="3">
        <v>45666</v>
      </c>
      <c r="B65" s="4" t="s">
        <v>26</v>
      </c>
      <c r="C65">
        <v>23.3</v>
      </c>
      <c r="D65" s="7">
        <f t="shared" si="60"/>
        <v>0.81184668989547037</v>
      </c>
      <c r="I65" s="16" t="s">
        <v>176</v>
      </c>
      <c r="J65" s="8">
        <v>0.15625</v>
      </c>
      <c r="L65">
        <v>300</v>
      </c>
      <c r="M65" s="11" t="e">
        <f>(N65+O65)/2</f>
        <v>#DIV/0!</v>
      </c>
      <c r="N65" s="11">
        <f>(R65+X65)/(R65+S65+X65+Y65)</f>
        <v>0.82178217821782173</v>
      </c>
      <c r="O65" s="11" t="e">
        <f>(U65+AA65)/(U65+V65+AA65+AB65)</f>
        <v>#DIV/0!</v>
      </c>
      <c r="P65" s="11" t="e">
        <f t="shared" ref="P65" si="64">O65-N65</f>
        <v>#DIV/0!</v>
      </c>
      <c r="Q65" s="11">
        <f>(R65+S65+U65+V65+X65+Y65+AA65+AB65)/(R65+S65+U65+V65+X65+Y65+AA65+AB65+W65+Z65+AC65+T65)</f>
        <v>0.33666666666666667</v>
      </c>
      <c r="R65">
        <v>83</v>
      </c>
      <c r="S65">
        <v>18</v>
      </c>
      <c r="T65">
        <v>199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383</v>
      </c>
      <c r="AE65">
        <v>204</v>
      </c>
      <c r="AF65">
        <v>6</v>
      </c>
    </row>
    <row r="66" spans="1:32">
      <c r="A66" s="3">
        <v>45667</v>
      </c>
      <c r="B66" s="4" t="s">
        <v>27</v>
      </c>
    </row>
    <row r="67" spans="1:32">
      <c r="A67" s="3">
        <v>45668</v>
      </c>
      <c r="B67" s="4" t="s">
        <v>28</v>
      </c>
    </row>
    <row r="68" spans="1:32">
      <c r="A68" s="3">
        <v>45669</v>
      </c>
      <c r="B68" s="4" t="s">
        <v>29</v>
      </c>
      <c r="C68">
        <v>23.7</v>
      </c>
      <c r="D68" s="7">
        <f>C68/$C$2</f>
        <v>0.82578397212543553</v>
      </c>
      <c r="I68" s="16" t="s">
        <v>176</v>
      </c>
      <c r="J68" s="8">
        <v>0.20833333333333334</v>
      </c>
      <c r="L68">
        <v>300</v>
      </c>
      <c r="M68" s="11" t="e">
        <f>(N68+O68)/2</f>
        <v>#DIV/0!</v>
      </c>
      <c r="N68" s="11">
        <f>(R68+X68)/(R68+S68+X68+Y68)</f>
        <v>0.87951807228915657</v>
      </c>
      <c r="O68" s="11" t="e">
        <f>(U68+AA68)/(U68+V68+AA68+AB68)</f>
        <v>#DIV/0!</v>
      </c>
      <c r="P68" s="11" t="e">
        <f t="shared" ref="P68" si="65">O68-N68</f>
        <v>#DIV/0!</v>
      </c>
      <c r="Q68" s="11">
        <f>(R68+S68+U68+V68+X68+Y68+AA68+AB68)/(R68+S68+U68+V68+X68+Y68+AA68+AB68+W68+Z68+AC68+T68)</f>
        <v>0.27666666666666667</v>
      </c>
      <c r="R68">
        <v>73</v>
      </c>
      <c r="S68">
        <v>10</v>
      </c>
      <c r="T68">
        <v>217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312</v>
      </c>
      <c r="AE68">
        <v>150</v>
      </c>
      <c r="AF68">
        <v>6</v>
      </c>
    </row>
    <row r="69" spans="1:32">
      <c r="A69" s="3">
        <v>45670</v>
      </c>
      <c r="B69" s="4" t="s">
        <v>19</v>
      </c>
      <c r="C69">
        <v>22.9</v>
      </c>
      <c r="D69" s="7">
        <f>C69/$C$2</f>
        <v>0.79790940766550522</v>
      </c>
      <c r="E69">
        <v>0.5</v>
      </c>
      <c r="F69" s="10">
        <f t="shared" ref="F69" si="66">(R69+U69+X69+AA69)*AF69/1000</f>
        <v>0.55800000000000005</v>
      </c>
      <c r="G69" s="10">
        <f t="shared" ref="G69" si="67">E69+F69</f>
        <v>1.0580000000000001</v>
      </c>
      <c r="I69" s="16" t="s">
        <v>176</v>
      </c>
      <c r="J69" s="8">
        <v>0.19097222222222221</v>
      </c>
      <c r="L69">
        <v>300</v>
      </c>
      <c r="M69" s="11" t="e">
        <f>(N69+O69)/2</f>
        <v>#DIV/0!</v>
      </c>
      <c r="N69" s="11">
        <f>(R69+X69)/(R69+S69+X69+Y69)</f>
        <v>0.85321100917431192</v>
      </c>
      <c r="O69" s="11" t="e">
        <f>(U69+AA69)/(U69+V69+AA69+AB69)</f>
        <v>#DIV/0!</v>
      </c>
      <c r="P69" s="11" t="e">
        <f t="shared" ref="P69" si="68">O69-N69</f>
        <v>#DIV/0!</v>
      </c>
      <c r="Q69" s="11">
        <f>(R69+S69+U69+V69+X69+Y69+AA69+AB69)/(R69+S69+U69+V69+X69+Y69+AA69+AB69+W69+Z69+AC69+T69)</f>
        <v>0.36333333333333334</v>
      </c>
      <c r="R69">
        <v>93</v>
      </c>
      <c r="S69">
        <v>16</v>
      </c>
      <c r="T69">
        <v>191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558</v>
      </c>
      <c r="AE69">
        <v>388</v>
      </c>
      <c r="AF69">
        <v>6</v>
      </c>
    </row>
    <row r="70" spans="1:32">
      <c r="A70" s="3">
        <v>45671</v>
      </c>
      <c r="B70" s="4" t="s">
        <v>22</v>
      </c>
      <c r="C70">
        <v>22.9</v>
      </c>
      <c r="D70" s="7">
        <f>C70/$C$2</f>
        <v>0.79790940766550522</v>
      </c>
      <c r="E70">
        <v>0.7</v>
      </c>
      <c r="F70" s="10">
        <f t="shared" ref="F70" si="69">(R70+U70+X70+AA70)*AF70/1000</f>
        <v>0.38400000000000001</v>
      </c>
      <c r="G70" s="10">
        <f t="shared" ref="G70" si="70">E70+F70</f>
        <v>1.0840000000000001</v>
      </c>
      <c r="I70" s="16" t="s">
        <v>176</v>
      </c>
      <c r="J70" s="8">
        <v>0.12847222222222221</v>
      </c>
      <c r="K70" s="8">
        <v>0.16388888888888889</v>
      </c>
      <c r="L70">
        <v>300</v>
      </c>
      <c r="M70" s="11" t="e">
        <f>(N70+O70)/2</f>
        <v>#DIV/0!</v>
      </c>
      <c r="N70" s="11">
        <f>(R70+X70)/(R70+S70+X70+Y70)</f>
        <v>0.65306122448979587</v>
      </c>
      <c r="O70" s="11" t="e">
        <f>(U70+AA70)/(U70+V70+AA70+AB70)</f>
        <v>#DIV/0!</v>
      </c>
      <c r="P70" s="11" t="e">
        <f t="shared" ref="P70" si="71">O70-N70</f>
        <v>#DIV/0!</v>
      </c>
      <c r="Q70" s="11">
        <f>(R70+S70+U70+V70+X70+Y70+AA70+AB70)/(R70+S70+U70+V70+X70+Y70+AA70+AB70+W70+Z70+AC70+T70)</f>
        <v>0.32666666666666666</v>
      </c>
      <c r="R70">
        <v>64</v>
      </c>
      <c r="S70">
        <v>34</v>
      </c>
      <c r="T70">
        <v>202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271</v>
      </c>
      <c r="AE70">
        <v>570</v>
      </c>
      <c r="AF70">
        <v>6</v>
      </c>
    </row>
    <row r="71" spans="1:32">
      <c r="A71" s="3">
        <v>45672</v>
      </c>
      <c r="B71" s="4" t="s">
        <v>24</v>
      </c>
      <c r="C71">
        <v>22.8</v>
      </c>
      <c r="D71" s="7">
        <f>C71/$C$2</f>
        <v>0.79442508710801396</v>
      </c>
      <c r="E71">
        <v>0.5</v>
      </c>
      <c r="F71" s="10">
        <f t="shared" ref="F71" si="72">(R71+U71+X71+AA71)*AF71/1000</f>
        <v>0.61199999999999999</v>
      </c>
      <c r="G71" s="10">
        <f t="shared" ref="G71" si="73">E71+F71</f>
        <v>1.1120000000000001</v>
      </c>
      <c r="I71" s="16" t="s">
        <v>177</v>
      </c>
      <c r="J71" s="8">
        <v>0.18055555555555555</v>
      </c>
      <c r="K71" s="8">
        <v>0.21249999999999999</v>
      </c>
      <c r="L71">
        <v>300</v>
      </c>
      <c r="M71" s="11">
        <f>(N71+O71)/2</f>
        <v>0.55010075105330647</v>
      </c>
      <c r="N71" s="11">
        <f>(R71+X71)/(R71+S71+X71+Y71)</f>
        <v>0.87378640776699024</v>
      </c>
      <c r="O71" s="11">
        <f>(U71+AA71)/(U71+V71+AA71+AB71)</f>
        <v>0.22641509433962265</v>
      </c>
      <c r="P71" s="11">
        <f t="shared" ref="P71" si="74">O71-N71</f>
        <v>-0.64737131342736753</v>
      </c>
      <c r="Q71" s="11">
        <f>(R71+S71+U71+V71+X71+Y71+AA71+AB71)/(R71+S71+U71+V71+X71+Y71+AA71+AB71+W71+Z71+AC71+T71)</f>
        <v>0.52</v>
      </c>
      <c r="R71">
        <v>90</v>
      </c>
      <c r="S71">
        <v>13</v>
      </c>
      <c r="T71">
        <v>77</v>
      </c>
      <c r="U71">
        <v>7</v>
      </c>
      <c r="V71">
        <v>29</v>
      </c>
      <c r="W71">
        <v>37</v>
      </c>
      <c r="X71">
        <v>0</v>
      </c>
      <c r="Y71">
        <v>0</v>
      </c>
      <c r="Z71">
        <v>0</v>
      </c>
      <c r="AA71">
        <v>5</v>
      </c>
      <c r="AB71">
        <v>12</v>
      </c>
      <c r="AC71">
        <v>30</v>
      </c>
      <c r="AD71">
        <v>1390</v>
      </c>
      <c r="AE71">
        <v>402</v>
      </c>
      <c r="AF71">
        <v>6</v>
      </c>
    </row>
    <row r="72" spans="1:32">
      <c r="A72" s="3">
        <v>45673</v>
      </c>
      <c r="B72" s="4" t="s">
        <v>26</v>
      </c>
      <c r="C72">
        <v>22.7</v>
      </c>
      <c r="D72" s="7">
        <f>C72/$C$2</f>
        <v>0.79094076655052259</v>
      </c>
      <c r="E72">
        <v>0.7</v>
      </c>
      <c r="F72" s="10">
        <f t="shared" ref="F72" si="75">(R72+U72+X72+AA72)*AF72/1000</f>
        <v>0.32400000000000001</v>
      </c>
      <c r="G72" s="10">
        <f t="shared" ref="G72" si="76">E72+F72</f>
        <v>1.024</v>
      </c>
      <c r="I72" s="16" t="s">
        <v>178</v>
      </c>
      <c r="J72" s="8">
        <v>0.19097222222222221</v>
      </c>
      <c r="K72" s="8">
        <v>0.22638888888888889</v>
      </c>
      <c r="L72">
        <v>300</v>
      </c>
      <c r="M72" s="11">
        <f>(N72+O72)/2</f>
        <v>0.53134479271991908</v>
      </c>
      <c r="N72" s="11">
        <f>(R72+X72)/(R72+S72+X72+Y72)</f>
        <v>0.93478260869565222</v>
      </c>
      <c r="O72" s="11">
        <f>(U72+AA72)/(U72+V72+AA72+AB72)</f>
        <v>0.12790697674418605</v>
      </c>
      <c r="P72" s="11">
        <f t="shared" ref="P72" si="77">O72-N72</f>
        <v>-0.80687563195146617</v>
      </c>
      <c r="Q72" s="11">
        <f>(R72+S72+U72+V72+X72+Y72+AA72+AB72)/(R72+S72+U72+V72+X72+Y72+AA72+AB72+W72+Z72+AC72+T72)</f>
        <v>0.47653429602888087</v>
      </c>
      <c r="R72">
        <v>43</v>
      </c>
      <c r="S72">
        <v>3</v>
      </c>
      <c r="T72">
        <v>52</v>
      </c>
      <c r="U72">
        <v>6</v>
      </c>
      <c r="V72">
        <v>48</v>
      </c>
      <c r="W72">
        <v>69</v>
      </c>
      <c r="X72">
        <v>0</v>
      </c>
      <c r="Y72">
        <v>0</v>
      </c>
      <c r="Z72">
        <v>0</v>
      </c>
      <c r="AA72">
        <v>5</v>
      </c>
      <c r="AB72">
        <v>27</v>
      </c>
      <c r="AC72">
        <v>24</v>
      </c>
      <c r="AD72">
        <v>1938</v>
      </c>
      <c r="AE72">
        <v>162</v>
      </c>
      <c r="AF72">
        <v>6</v>
      </c>
    </row>
    <row r="73" spans="1:32">
      <c r="A73" s="3">
        <v>45674</v>
      </c>
      <c r="B73" s="4" t="s">
        <v>27</v>
      </c>
      <c r="C73">
        <v>22.9</v>
      </c>
      <c r="D73" s="7">
        <f>C73/$C$2</f>
        <v>0.79790940766550522</v>
      </c>
      <c r="E73">
        <v>0.6</v>
      </c>
      <c r="F73" s="10">
        <f t="shared" ref="F73" si="78">(R73+U73+X73+AA73)*AF73/1000</f>
        <v>0.46200000000000002</v>
      </c>
      <c r="G73" s="10">
        <f t="shared" ref="G73" si="79">E73+F73</f>
        <v>1.0620000000000001</v>
      </c>
      <c r="I73" s="16" t="s">
        <v>178</v>
      </c>
      <c r="J73" s="8">
        <v>0.17916666666666667</v>
      </c>
      <c r="K73" s="8">
        <v>0.21388888888888888</v>
      </c>
      <c r="L73">
        <v>300</v>
      </c>
      <c r="M73" s="11">
        <f>(N73+O73)/2</f>
        <v>0.65625</v>
      </c>
      <c r="N73" s="11">
        <f>(R73+X73)/(R73+S73+X73+Y73)</f>
        <v>0.8125</v>
      </c>
      <c r="O73" s="11">
        <f>(U73+AA73)/(U73+V73+AA73+AB73)</f>
        <v>0.5</v>
      </c>
      <c r="P73" s="11">
        <f t="shared" ref="P73" si="80">O73-N73</f>
        <v>-0.3125</v>
      </c>
      <c r="Q73" s="11">
        <f>(R73+S73+U73+V73+X73+Y73+AA73+AB73)/(R73+S73+U73+V73+X73+Y73+AA73+AB73+W73+Z73+AC73+T73)</f>
        <v>0.40924092409240925</v>
      </c>
      <c r="R73">
        <v>39</v>
      </c>
      <c r="S73">
        <v>9</v>
      </c>
      <c r="T73">
        <v>92</v>
      </c>
      <c r="U73">
        <v>31</v>
      </c>
      <c r="V73">
        <v>33</v>
      </c>
      <c r="W73">
        <v>74</v>
      </c>
      <c r="X73">
        <v>0</v>
      </c>
      <c r="Y73">
        <v>0</v>
      </c>
      <c r="Z73">
        <v>1</v>
      </c>
      <c r="AA73">
        <v>7</v>
      </c>
      <c r="AB73">
        <v>5</v>
      </c>
      <c r="AC73">
        <v>12</v>
      </c>
      <c r="AD73">
        <v>626</v>
      </c>
      <c r="AE73">
        <v>173</v>
      </c>
      <c r="AF73">
        <v>6</v>
      </c>
    </row>
    <row r="74" spans="1:32">
      <c r="A74" s="3">
        <v>45675</v>
      </c>
      <c r="B74" s="4" t="s">
        <v>28</v>
      </c>
      <c r="C74">
        <v>22.7</v>
      </c>
      <c r="D74" s="7">
        <f>C74/$C$2</f>
        <v>0.79094076655052259</v>
      </c>
      <c r="E74">
        <v>1.4</v>
      </c>
    </row>
    <row r="75" spans="1:32">
      <c r="A75" s="3">
        <v>45676</v>
      </c>
      <c r="B75" s="4" t="s">
        <v>29</v>
      </c>
    </row>
    <row r="76" spans="1:32">
      <c r="A76" s="3">
        <v>45677</v>
      </c>
      <c r="B76" s="4" t="s">
        <v>19</v>
      </c>
      <c r="C76">
        <v>23.6</v>
      </c>
      <c r="D76" s="7">
        <f>C76/$C$2</f>
        <v>0.82229965156794427</v>
      </c>
      <c r="I76" t="s">
        <v>167</v>
      </c>
      <c r="J76" s="8" t="s">
        <v>179</v>
      </c>
      <c r="L76">
        <v>300</v>
      </c>
      <c r="M76" s="11">
        <f>(N76+O76)/2</f>
        <v>0.47767857142857145</v>
      </c>
      <c r="N76" s="11">
        <f>(R76+X76)/(R76+S76+X76+Y76)</f>
        <v>0.8928571428571429</v>
      </c>
      <c r="O76" s="11">
        <f>(U76+AA76)/(U76+V76+AA76+AB76)</f>
        <v>6.25E-2</v>
      </c>
      <c r="P76" s="11">
        <f t="shared" ref="P76" si="81">O76-N76</f>
        <v>-0.8303571428571429</v>
      </c>
      <c r="Q76" s="11">
        <f>(R76+S76+U76+V76+X76+Y76+AA76+AB76)/(R76+S76+U76+V76+X76+Y76+AA76+AB76+W76+Z76+AC76+T76)</f>
        <v>0.4</v>
      </c>
      <c r="R76">
        <v>30</v>
      </c>
      <c r="S76">
        <v>6</v>
      </c>
      <c r="T76">
        <v>58</v>
      </c>
      <c r="U76">
        <v>4</v>
      </c>
      <c r="V76">
        <v>30</v>
      </c>
      <c r="W76">
        <v>72</v>
      </c>
      <c r="X76">
        <v>20</v>
      </c>
      <c r="Y76">
        <v>0</v>
      </c>
      <c r="Z76">
        <v>27</v>
      </c>
      <c r="AA76">
        <v>0</v>
      </c>
      <c r="AB76">
        <v>30</v>
      </c>
      <c r="AC76">
        <v>23</v>
      </c>
      <c r="AD76">
        <v>147</v>
      </c>
      <c r="AE76">
        <v>92</v>
      </c>
      <c r="AF76">
        <v>6</v>
      </c>
    </row>
    <row r="77" spans="1:32">
      <c r="A77" s="3">
        <v>45678</v>
      </c>
      <c r="B77" s="4" t="s">
        <v>22</v>
      </c>
      <c r="C77">
        <v>23.2</v>
      </c>
      <c r="D77" s="7">
        <f>C77/$C$2</f>
        <v>0.80836236933797911</v>
      </c>
      <c r="I77" t="s">
        <v>167</v>
      </c>
      <c r="J77" t="s">
        <v>180</v>
      </c>
      <c r="L77">
        <v>300</v>
      </c>
      <c r="M77" s="11">
        <f>(N77+O77)/2</f>
        <v>0.51257575757575757</v>
      </c>
      <c r="N77" s="11">
        <f>(R77+X77)/(R77+S77+X77+Y77)</f>
        <v>0.93181818181818177</v>
      </c>
      <c r="O77" s="11">
        <f>(U77+AA77)/(U77+V77+AA77+AB77)</f>
        <v>9.3333333333333338E-2</v>
      </c>
      <c r="P77" s="11">
        <f t="shared" ref="P77" si="82">O77-N77</f>
        <v>-0.83848484848484839</v>
      </c>
      <c r="Q77" s="11">
        <f>(R77+S77+U77+V77+X77+Y77+AA77+AB77)/(R77+S77+U77+V77+X77+Y77+AA77+AB77+W77+Z77+AC77+T77)</f>
        <v>0.39666666666666667</v>
      </c>
      <c r="R77">
        <v>18</v>
      </c>
      <c r="S77">
        <v>3</v>
      </c>
      <c r="T77">
        <v>67</v>
      </c>
      <c r="U77">
        <v>7</v>
      </c>
      <c r="V77">
        <v>31</v>
      </c>
      <c r="W77">
        <v>74</v>
      </c>
      <c r="X77">
        <v>23</v>
      </c>
      <c r="Y77">
        <v>0</v>
      </c>
      <c r="Z77">
        <v>21</v>
      </c>
      <c r="AA77">
        <v>0</v>
      </c>
      <c r="AB77">
        <v>37</v>
      </c>
      <c r="AC77">
        <v>19</v>
      </c>
      <c r="AD77">
        <v>935</v>
      </c>
      <c r="AE77">
        <v>168</v>
      </c>
      <c r="AF77">
        <v>6</v>
      </c>
    </row>
    <row r="78" spans="1:32">
      <c r="A78" s="3">
        <v>45679</v>
      </c>
      <c r="B78" s="4" t="s">
        <v>24</v>
      </c>
      <c r="C78">
        <v>22.6</v>
      </c>
      <c r="D78" s="7">
        <f>C78/$C$2</f>
        <v>0.78745644599303144</v>
      </c>
      <c r="I78" s="16" t="s">
        <v>178</v>
      </c>
      <c r="J78" t="s">
        <v>181</v>
      </c>
      <c r="L78">
        <v>300</v>
      </c>
      <c r="M78" s="11">
        <f>(N78+O78)/2</f>
        <v>0.50210378681626922</v>
      </c>
      <c r="N78" s="11">
        <f>(R78+X78)/(R78+S78+X78+Y78)</f>
        <v>0.89130434782608692</v>
      </c>
      <c r="O78" s="11">
        <f>(U78+AA78)/(U78+V78+AA78+AB78)</f>
        <v>0.11290322580645161</v>
      </c>
      <c r="P78" s="11">
        <f t="shared" ref="P78" si="83">O78-N78</f>
        <v>-0.77840112201963529</v>
      </c>
      <c r="Q78" s="11">
        <f>(R78+S78+U78+V78+X78+Y78+AA78+AB78)/(R78+S78+U78+V78+X78+Y78+AA78+AB78+W78+Z78+AC78+T78)</f>
        <v>0.38028169014084506</v>
      </c>
      <c r="R78">
        <v>41</v>
      </c>
      <c r="S78">
        <v>5</v>
      </c>
      <c r="T78">
        <v>90</v>
      </c>
      <c r="U78">
        <v>7</v>
      </c>
      <c r="V78">
        <v>54</v>
      </c>
      <c r="W78">
        <v>79</v>
      </c>
      <c r="X78">
        <v>0</v>
      </c>
      <c r="Y78">
        <v>0</v>
      </c>
      <c r="Z78">
        <v>0</v>
      </c>
      <c r="AA78">
        <v>0</v>
      </c>
      <c r="AB78">
        <v>1</v>
      </c>
      <c r="AC78">
        <v>7</v>
      </c>
      <c r="AD78">
        <v>1032</v>
      </c>
      <c r="AE78">
        <v>88</v>
      </c>
      <c r="AF78">
        <v>6</v>
      </c>
    </row>
    <row r="79" spans="1:32">
      <c r="A79" s="3">
        <v>45680</v>
      </c>
      <c r="B79" s="4" t="s">
        <v>26</v>
      </c>
    </row>
    <row r="80" spans="1:32">
      <c r="A80" s="3">
        <v>45681</v>
      </c>
      <c r="B80" s="4" t="s">
        <v>27</v>
      </c>
    </row>
    <row r="81" spans="1:32">
      <c r="A81" s="3">
        <v>45682</v>
      </c>
      <c r="B81" s="4" t="s">
        <v>28</v>
      </c>
      <c r="J81" s="8">
        <v>0.16666666666666666</v>
      </c>
    </row>
    <row r="82" spans="1:32">
      <c r="A82" s="3">
        <v>45683</v>
      </c>
      <c r="B82" s="4" t="s">
        <v>29</v>
      </c>
      <c r="C82">
        <v>23.3</v>
      </c>
      <c r="D82" s="7">
        <f>C82/$C$2</f>
        <v>0.81184668989547037</v>
      </c>
      <c r="I82" s="16" t="s">
        <v>178</v>
      </c>
      <c r="J82" s="8">
        <v>0.34930555555555554</v>
      </c>
      <c r="L82">
        <v>300</v>
      </c>
      <c r="M82" s="11">
        <f>(N82+O82)/2</f>
        <v>0.52777777777777779</v>
      </c>
      <c r="N82" s="11">
        <f>(R82+X82)/(R82+S82+X82+Y82)</f>
        <v>0.83333333333333337</v>
      </c>
      <c r="O82" s="11">
        <f>(U82+AA82)/(U82+V82+AA82+AB82)</f>
        <v>0.22222222222222221</v>
      </c>
      <c r="P82" s="11">
        <f t="shared" ref="P82" si="84">O82-N82</f>
        <v>-0.61111111111111116</v>
      </c>
      <c r="Q82" s="11">
        <f>(R82+S82+U82+V82+X82+Y82+AA82+AB82)/(R82+S82+U82+V82+X82+Y82+AA82+AB82+W82+Z82+AC82+T82)</f>
        <v>0.55128205128205132</v>
      </c>
      <c r="R82">
        <v>40</v>
      </c>
      <c r="S82">
        <v>8</v>
      </c>
      <c r="T82">
        <v>22</v>
      </c>
      <c r="U82">
        <v>15</v>
      </c>
      <c r="V82">
        <v>53</v>
      </c>
      <c r="W82">
        <v>73</v>
      </c>
      <c r="X82">
        <v>0</v>
      </c>
      <c r="Y82">
        <v>0</v>
      </c>
      <c r="Z82">
        <v>0</v>
      </c>
      <c r="AA82">
        <v>3</v>
      </c>
      <c r="AB82">
        <v>10</v>
      </c>
      <c r="AC82">
        <v>10</v>
      </c>
      <c r="AD82">
        <v>950</v>
      </c>
      <c r="AE82">
        <v>270</v>
      </c>
      <c r="AF82">
        <v>6</v>
      </c>
    </row>
    <row r="83" spans="1:32">
      <c r="A83" s="3">
        <v>45684</v>
      </c>
      <c r="B83" s="4" t="s">
        <v>19</v>
      </c>
      <c r="C83">
        <v>22.5</v>
      </c>
      <c r="D83" s="7">
        <f>C83/$C$2</f>
        <v>0.78397212543554007</v>
      </c>
      <c r="I83" s="16" t="s">
        <v>178</v>
      </c>
      <c r="J83" s="8">
        <v>0.19444444444444445</v>
      </c>
      <c r="L83">
        <v>300</v>
      </c>
      <c r="M83" s="11">
        <f>(N83+O83)/2</f>
        <v>0.44480419364785689</v>
      </c>
      <c r="N83" s="11">
        <f>(R83+X83)/(R83+S83+X83+Y83)</f>
        <v>0.74468085106382975</v>
      </c>
      <c r="O83" s="11">
        <f>(U83+AA83)/(U83+V83+AA83+AB83)</f>
        <v>0.14492753623188406</v>
      </c>
      <c r="P83" s="11">
        <f t="shared" ref="P83" si="85">O83-N83</f>
        <v>-0.59975331483194572</v>
      </c>
      <c r="Q83" s="11">
        <f>(R83+S83+U83+V83+X83+Y83+AA83+AB83)/(R83+S83+U83+V83+X83+Y83+AA83+AB83+W83+Z83+AC83+T83)</f>
        <v>0.38666666666666666</v>
      </c>
      <c r="R83">
        <v>35</v>
      </c>
      <c r="S83">
        <v>12</v>
      </c>
      <c r="T83">
        <v>78</v>
      </c>
      <c r="U83">
        <v>8</v>
      </c>
      <c r="V83">
        <v>50</v>
      </c>
      <c r="W83">
        <v>80</v>
      </c>
      <c r="X83">
        <v>0</v>
      </c>
      <c r="Y83">
        <v>0</v>
      </c>
      <c r="Z83">
        <v>1</v>
      </c>
      <c r="AA83">
        <v>2</v>
      </c>
      <c r="AB83">
        <v>9</v>
      </c>
      <c r="AC83">
        <v>25</v>
      </c>
      <c r="AD83">
        <v>1012</v>
      </c>
      <c r="AE83">
        <v>126</v>
      </c>
      <c r="AF83">
        <v>6</v>
      </c>
    </row>
    <row r="84" spans="1:32">
      <c r="A84" s="3">
        <v>45685</v>
      </c>
      <c r="B84" s="4" t="s">
        <v>22</v>
      </c>
      <c r="C84">
        <v>22.1</v>
      </c>
      <c r="D84" s="7">
        <f>C84/$C$2</f>
        <v>0.77003484320557503</v>
      </c>
      <c r="E84">
        <v>1</v>
      </c>
      <c r="I84" s="16" t="s">
        <v>178</v>
      </c>
      <c r="J84" s="8">
        <v>0.1701388888888889</v>
      </c>
      <c r="L84">
        <v>300</v>
      </c>
      <c r="M84" s="11">
        <f>(N84+O84)/2</f>
        <v>0.49532967032967035</v>
      </c>
      <c r="N84" s="11">
        <f>(R84+X84)/(R84+S84+X84+Y84)</f>
        <v>0.8214285714285714</v>
      </c>
      <c r="O84" s="11">
        <f>(U84+AA84)/(U84+V84+AA84+AB84)</f>
        <v>0.16923076923076924</v>
      </c>
      <c r="P84" s="11">
        <f t="shared" ref="P84" si="86">O84-N84</f>
        <v>-0.6521978021978021</v>
      </c>
      <c r="Q84" s="11">
        <f>(R84+S84+U84+V84+X84+Y84+AA84+AB84)/(R84+S84+U84+V84+X84+Y84+AA84+AB84+W84+Z84+AC84+T84)</f>
        <v>0.40333333333333332</v>
      </c>
      <c r="R84">
        <v>46</v>
      </c>
      <c r="S84">
        <v>10</v>
      </c>
      <c r="T84">
        <v>63</v>
      </c>
      <c r="U84">
        <v>10</v>
      </c>
      <c r="V84">
        <v>42</v>
      </c>
      <c r="W84">
        <v>83</v>
      </c>
      <c r="X84">
        <v>0</v>
      </c>
      <c r="Y84">
        <v>0</v>
      </c>
      <c r="Z84">
        <v>2</v>
      </c>
      <c r="AA84">
        <v>1</v>
      </c>
      <c r="AB84">
        <v>12</v>
      </c>
      <c r="AC84">
        <v>31</v>
      </c>
      <c r="AD84">
        <v>930</v>
      </c>
      <c r="AE84">
        <v>174</v>
      </c>
      <c r="AF84">
        <v>6</v>
      </c>
    </row>
    <row r="85" spans="1:32">
      <c r="A85" s="3">
        <v>45686</v>
      </c>
      <c r="B85" s="4" t="s">
        <v>24</v>
      </c>
      <c r="C85">
        <v>23</v>
      </c>
      <c r="D85" s="7">
        <f>C85/$C$2</f>
        <v>0.80139372822299648</v>
      </c>
      <c r="I85" s="16" t="s">
        <v>178</v>
      </c>
      <c r="J85" s="8">
        <v>0.1388888888888889</v>
      </c>
      <c r="L85">
        <v>300</v>
      </c>
      <c r="M85" s="11">
        <f>(N85+O85)/2</f>
        <v>0.54838709677419351</v>
      </c>
      <c r="N85" s="11">
        <f>(R85+X85)/(R85+S85+X85+Y85)</f>
        <v>0.67741935483870963</v>
      </c>
      <c r="O85" s="11">
        <f>(U85+AA85)/(U85+V85+AA85+AB85)</f>
        <v>0.41935483870967744</v>
      </c>
      <c r="P85" s="11">
        <f t="shared" ref="P85" si="87">O85-N85</f>
        <v>-0.2580645161290322</v>
      </c>
      <c r="Q85" s="11">
        <f>(R85+S85+U85+V85+X85+Y85+AA85+AB85)/(R85+S85+U85+V85+X85+Y85+AA85+AB85+W85+Z85+AC85+T85)</f>
        <v>0.20666666666666667</v>
      </c>
      <c r="R85">
        <v>21</v>
      </c>
      <c r="S85">
        <v>10</v>
      </c>
      <c r="T85">
        <v>119</v>
      </c>
      <c r="U85">
        <v>13</v>
      </c>
      <c r="V85">
        <v>18</v>
      </c>
      <c r="W85">
        <v>119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234</v>
      </c>
      <c r="AE85">
        <v>126</v>
      </c>
      <c r="AF85">
        <v>6</v>
      </c>
    </row>
    <row r="86" spans="1:32">
      <c r="A86" s="3">
        <v>45687</v>
      </c>
      <c r="B86" s="4" t="s">
        <v>26</v>
      </c>
    </row>
    <row r="87" spans="1:32">
      <c r="A87" s="3">
        <v>45688</v>
      </c>
      <c r="B87" s="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B95E-64E9-431E-87AD-587A132E4674}">
  <dimension ref="A1:AG79"/>
  <sheetViews>
    <sheetView topLeftCell="A59" workbookViewId="0">
      <selection activeCell="C72" sqref="C72"/>
    </sheetView>
  </sheetViews>
  <sheetFormatPr defaultRowHeight="15"/>
  <cols>
    <col min="1" max="1" width="11.140625" bestFit="1" customWidth="1"/>
    <col min="9" max="9" width="37" customWidth="1"/>
    <col min="10" max="10" width="9.28515625" bestFit="1" customWidth="1"/>
  </cols>
  <sheetData>
    <row r="1" spans="1:18" ht="29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80</v>
      </c>
    </row>
    <row r="2" spans="1:18">
      <c r="A2" s="3">
        <v>45611</v>
      </c>
      <c r="B2" s="4" t="s">
        <v>27</v>
      </c>
      <c r="C2">
        <v>24.9</v>
      </c>
      <c r="D2" s="7">
        <f>C2/$C$2</f>
        <v>1</v>
      </c>
      <c r="G2">
        <f>E2+F2</f>
        <v>0</v>
      </c>
      <c r="I2" t="s">
        <v>25</v>
      </c>
      <c r="R2" t="s">
        <v>182</v>
      </c>
    </row>
    <row r="3" spans="1:18">
      <c r="A3" s="3">
        <v>45612</v>
      </c>
      <c r="B3" s="4" t="s">
        <v>28</v>
      </c>
      <c r="C3">
        <v>25</v>
      </c>
      <c r="D3" s="7">
        <f t="shared" ref="D3:E25" si="0">C3/$C$2</f>
        <v>1.0040160642570282</v>
      </c>
    </row>
    <row r="4" spans="1:18">
      <c r="A4" s="3">
        <v>45613</v>
      </c>
      <c r="B4" s="4" t="s">
        <v>29</v>
      </c>
      <c r="C4">
        <v>25</v>
      </c>
      <c r="D4" s="7">
        <f t="shared" si="0"/>
        <v>1.0040160642570282</v>
      </c>
      <c r="E4" t="s">
        <v>183</v>
      </c>
    </row>
    <row r="5" spans="1:18">
      <c r="A5" s="3">
        <v>45614</v>
      </c>
      <c r="B5" s="4" t="s">
        <v>19</v>
      </c>
      <c r="C5">
        <v>22.8</v>
      </c>
      <c r="D5" s="7">
        <f t="shared" si="0"/>
        <v>0.9156626506024097</v>
      </c>
      <c r="G5">
        <v>1</v>
      </c>
      <c r="I5" t="s">
        <v>25</v>
      </c>
    </row>
    <row r="6" spans="1:18">
      <c r="A6" s="3">
        <v>45615</v>
      </c>
      <c r="B6" s="4" t="s">
        <v>22</v>
      </c>
      <c r="D6" s="7">
        <f t="shared" si="0"/>
        <v>0</v>
      </c>
      <c r="E6" t="s">
        <v>184</v>
      </c>
    </row>
    <row r="7" spans="1:18">
      <c r="A7" s="3">
        <v>45616</v>
      </c>
      <c r="B7" s="4" t="s">
        <v>24</v>
      </c>
      <c r="C7">
        <v>21.2</v>
      </c>
      <c r="D7" s="7">
        <f t="shared" si="0"/>
        <v>0.85140562248995988</v>
      </c>
      <c r="E7" t="s">
        <v>184</v>
      </c>
    </row>
    <row r="8" spans="1:18">
      <c r="A8" s="3">
        <v>45617</v>
      </c>
      <c r="B8" s="4" t="s">
        <v>26</v>
      </c>
      <c r="C8">
        <v>20.5</v>
      </c>
      <c r="D8" s="7">
        <f t="shared" si="0"/>
        <v>0.82329317269076308</v>
      </c>
    </row>
    <row r="9" spans="1:18">
      <c r="A9" s="3">
        <v>45618</v>
      </c>
      <c r="B9" s="4" t="s">
        <v>27</v>
      </c>
      <c r="C9">
        <v>21.5</v>
      </c>
      <c r="D9" s="7">
        <f t="shared" si="0"/>
        <v>0.86345381526104426</v>
      </c>
      <c r="E9" t="s">
        <v>185</v>
      </c>
    </row>
    <row r="10" spans="1:18">
      <c r="A10" s="3">
        <v>45619</v>
      </c>
      <c r="B10" s="4" t="s">
        <v>28</v>
      </c>
      <c r="C10">
        <v>25.2</v>
      </c>
      <c r="D10" s="7">
        <f t="shared" si="0"/>
        <v>1.0120481927710843</v>
      </c>
    </row>
    <row r="11" spans="1:18">
      <c r="A11" s="3">
        <v>45620</v>
      </c>
      <c r="B11" s="4" t="s">
        <v>29</v>
      </c>
      <c r="C11">
        <v>22.8</v>
      </c>
      <c r="D11" s="7">
        <f t="shared" si="0"/>
        <v>0.9156626506024097</v>
      </c>
      <c r="I11" t="s">
        <v>186</v>
      </c>
    </row>
    <row r="12" spans="1:18">
      <c r="A12" s="3">
        <v>45621</v>
      </c>
      <c r="B12" s="4" t="s">
        <v>19</v>
      </c>
      <c r="C12">
        <v>22.6</v>
      </c>
      <c r="D12" s="7">
        <f t="shared" si="0"/>
        <v>0.90763052208835349</v>
      </c>
      <c r="I12" t="s">
        <v>186</v>
      </c>
    </row>
    <row r="13" spans="1:18">
      <c r="A13" s="3">
        <v>45622</v>
      </c>
      <c r="B13" s="4" t="s">
        <v>22</v>
      </c>
      <c r="C13">
        <v>22.4</v>
      </c>
      <c r="D13" s="7">
        <f t="shared" si="0"/>
        <v>0.89959839357429716</v>
      </c>
      <c r="I13" t="s">
        <v>186</v>
      </c>
    </row>
    <row r="14" spans="1:18">
      <c r="A14" s="3">
        <v>45623</v>
      </c>
      <c r="B14" s="4" t="s">
        <v>24</v>
      </c>
      <c r="C14">
        <v>22.6</v>
      </c>
      <c r="D14" s="7">
        <f t="shared" si="0"/>
        <v>0.90763052208835349</v>
      </c>
      <c r="I14" t="s">
        <v>186</v>
      </c>
    </row>
    <row r="15" spans="1:18">
      <c r="A15" s="3">
        <v>45624</v>
      </c>
      <c r="B15" s="4" t="s">
        <v>26</v>
      </c>
      <c r="D15" s="7"/>
    </row>
    <row r="16" spans="1:18">
      <c r="A16" s="3">
        <v>45625</v>
      </c>
      <c r="B16" s="4" t="s">
        <v>27</v>
      </c>
      <c r="D16" s="7"/>
    </row>
    <row r="17" spans="1:19">
      <c r="A17" s="3">
        <v>45626</v>
      </c>
      <c r="B17" s="4" t="s">
        <v>28</v>
      </c>
      <c r="C17">
        <v>19.899999999999999</v>
      </c>
      <c r="D17" s="7">
        <f t="shared" si="0"/>
        <v>0.79919678714859432</v>
      </c>
      <c r="I17" t="s">
        <v>187</v>
      </c>
      <c r="J17" s="8">
        <v>0.41319444444444442</v>
      </c>
      <c r="K17" s="8">
        <v>0.4201388888888889</v>
      </c>
      <c r="L17">
        <v>236</v>
      </c>
      <c r="M17">
        <v>2066</v>
      </c>
      <c r="N17" t="s">
        <v>188</v>
      </c>
    </row>
    <row r="18" spans="1:19">
      <c r="A18" s="3">
        <v>45627</v>
      </c>
      <c r="B18" s="4" t="s">
        <v>29</v>
      </c>
      <c r="C18">
        <v>20.3</v>
      </c>
      <c r="D18" s="7">
        <f t="shared" si="0"/>
        <v>0.81526104417670686</v>
      </c>
      <c r="I18" t="s">
        <v>187</v>
      </c>
      <c r="J18" s="8">
        <v>0.44722222222222224</v>
      </c>
      <c r="K18" s="8">
        <v>0.46111111111111114</v>
      </c>
      <c r="L18">
        <v>169</v>
      </c>
      <c r="M18">
        <v>1302</v>
      </c>
      <c r="N18" t="s">
        <v>188</v>
      </c>
    </row>
    <row r="19" spans="1:19">
      <c r="A19" s="3">
        <v>45628</v>
      </c>
      <c r="B19" s="4" t="s">
        <v>19</v>
      </c>
      <c r="C19">
        <v>20.5</v>
      </c>
      <c r="D19" s="7">
        <f t="shared" si="0"/>
        <v>0.82329317269076308</v>
      </c>
      <c r="I19" t="s">
        <v>189</v>
      </c>
      <c r="J19" s="8">
        <v>0.29375000000000001</v>
      </c>
      <c r="K19" s="8">
        <v>0.3125</v>
      </c>
      <c r="L19">
        <v>154</v>
      </c>
      <c r="M19">
        <v>1874</v>
      </c>
      <c r="N19" t="s">
        <v>188</v>
      </c>
    </row>
    <row r="20" spans="1:19">
      <c r="A20" s="3">
        <v>45629</v>
      </c>
      <c r="B20" s="4" t="s">
        <v>22</v>
      </c>
      <c r="C20">
        <v>21.4</v>
      </c>
      <c r="D20" s="7">
        <f t="shared" si="0"/>
        <v>0.85943775100401609</v>
      </c>
      <c r="I20" t="s">
        <v>190</v>
      </c>
      <c r="J20" s="8">
        <v>0.22222222222222221</v>
      </c>
      <c r="K20" s="8">
        <v>0.25</v>
      </c>
      <c r="L20">
        <v>92</v>
      </c>
      <c r="M20">
        <v>1156</v>
      </c>
      <c r="N20" t="s">
        <v>188</v>
      </c>
    </row>
    <row r="21" spans="1:19">
      <c r="A21" s="3">
        <v>45630</v>
      </c>
      <c r="B21" s="4" t="s">
        <v>24</v>
      </c>
      <c r="C21">
        <v>20.399999999999999</v>
      </c>
      <c r="D21" s="7">
        <f t="shared" si="0"/>
        <v>0.81927710843373491</v>
      </c>
      <c r="I21" t="s">
        <v>190</v>
      </c>
      <c r="J21" s="8">
        <v>0.20833333333333334</v>
      </c>
      <c r="K21" s="8">
        <v>0.2361111111111111</v>
      </c>
      <c r="L21">
        <v>101</v>
      </c>
      <c r="M21">
        <v>1703</v>
      </c>
      <c r="N21" t="s">
        <v>188</v>
      </c>
    </row>
    <row r="22" spans="1:19">
      <c r="A22" s="3">
        <v>45631</v>
      </c>
      <c r="B22" s="4" t="s">
        <v>26</v>
      </c>
      <c r="C22">
        <v>19.8</v>
      </c>
      <c r="D22" s="7">
        <f t="shared" si="0"/>
        <v>0.79518072289156638</v>
      </c>
      <c r="I22" t="s">
        <v>113</v>
      </c>
    </row>
    <row r="23" spans="1:19">
      <c r="A23" s="3">
        <v>45632</v>
      </c>
      <c r="B23" s="4" t="s">
        <v>27</v>
      </c>
      <c r="I23" t="s">
        <v>190</v>
      </c>
      <c r="J23" s="8">
        <v>0.27083333333333331</v>
      </c>
      <c r="L23">
        <v>125</v>
      </c>
      <c r="M23">
        <v>1470</v>
      </c>
      <c r="N23" t="s">
        <v>191</v>
      </c>
      <c r="O23" t="s">
        <v>192</v>
      </c>
    </row>
    <row r="24" spans="1:19">
      <c r="A24" s="3">
        <v>45633</v>
      </c>
      <c r="B24" s="4" t="s">
        <v>28</v>
      </c>
      <c r="C24">
        <v>20.3</v>
      </c>
      <c r="D24" s="7">
        <f t="shared" si="0"/>
        <v>0.81526104417670686</v>
      </c>
      <c r="I24" t="s">
        <v>190</v>
      </c>
      <c r="L24">
        <v>243</v>
      </c>
      <c r="M24">
        <v>3032</v>
      </c>
      <c r="N24" t="s">
        <v>188</v>
      </c>
    </row>
    <row r="25" spans="1:19">
      <c r="A25" s="3">
        <v>45634</v>
      </c>
      <c r="B25" s="4" t="s">
        <v>29</v>
      </c>
      <c r="C25">
        <v>20</v>
      </c>
      <c r="D25" s="7">
        <f t="shared" si="0"/>
        <v>0.80321285140562249</v>
      </c>
      <c r="E25">
        <v>1.5</v>
      </c>
      <c r="I25" t="s">
        <v>154</v>
      </c>
      <c r="J25" s="8">
        <v>0.22916666666666666</v>
      </c>
      <c r="K25" s="8">
        <v>0.2361111111111111</v>
      </c>
      <c r="L25">
        <v>25</v>
      </c>
      <c r="N25">
        <v>9</v>
      </c>
      <c r="O25">
        <v>14</v>
      </c>
      <c r="P25">
        <v>11</v>
      </c>
      <c r="Q25">
        <v>35</v>
      </c>
      <c r="S25" t="s">
        <v>193</v>
      </c>
    </row>
    <row r="26" spans="1:19">
      <c r="A26" s="3">
        <v>45635</v>
      </c>
      <c r="B26" s="4" t="s">
        <v>19</v>
      </c>
      <c r="C26">
        <v>19.8</v>
      </c>
      <c r="D26" s="7">
        <f t="shared" ref="D26:D33" si="1">C26/$C$2</f>
        <v>0.79518072289156638</v>
      </c>
      <c r="I26" t="s">
        <v>154</v>
      </c>
      <c r="J26" s="8">
        <v>0.2951388888888889</v>
      </c>
      <c r="K26" s="8">
        <v>0.31944444444444442</v>
      </c>
      <c r="N26">
        <v>89</v>
      </c>
      <c r="O26">
        <v>87</v>
      </c>
      <c r="P26">
        <v>95</v>
      </c>
      <c r="Q26">
        <v>157</v>
      </c>
    </row>
    <row r="27" spans="1:19">
      <c r="A27" s="3">
        <v>45636</v>
      </c>
      <c r="B27" s="4" t="s">
        <v>22</v>
      </c>
      <c r="C27">
        <v>20.3</v>
      </c>
      <c r="D27" s="7">
        <f t="shared" si="1"/>
        <v>0.81526104417670686</v>
      </c>
      <c r="I27" t="s">
        <v>194</v>
      </c>
      <c r="J27" s="8">
        <v>0.30555555555555558</v>
      </c>
      <c r="K27" s="8">
        <v>0.3298611111111111</v>
      </c>
      <c r="R27" t="s">
        <v>161</v>
      </c>
      <c r="S27" t="s">
        <v>195</v>
      </c>
    </row>
    <row r="28" spans="1:19">
      <c r="A28" s="3">
        <v>45637</v>
      </c>
      <c r="B28" s="4" t="s">
        <v>24</v>
      </c>
      <c r="C28">
        <v>20.8</v>
      </c>
      <c r="D28" s="7">
        <f t="shared" si="1"/>
        <v>0.83534136546184745</v>
      </c>
      <c r="I28" t="s">
        <v>196</v>
      </c>
      <c r="J28" s="8">
        <v>0.16319444444444445</v>
      </c>
      <c r="K28" s="8">
        <v>0.18402777777777779</v>
      </c>
      <c r="L28">
        <v>111</v>
      </c>
      <c r="N28">
        <v>54</v>
      </c>
      <c r="O28">
        <v>57</v>
      </c>
      <c r="P28">
        <v>71</v>
      </c>
      <c r="Q28">
        <v>133</v>
      </c>
      <c r="R28" t="s">
        <v>197</v>
      </c>
      <c r="S28" t="s">
        <v>198</v>
      </c>
    </row>
    <row r="29" spans="1:19">
      <c r="A29" s="3">
        <v>45638</v>
      </c>
      <c r="B29" s="4" t="s">
        <v>26</v>
      </c>
      <c r="C29">
        <v>20.3</v>
      </c>
      <c r="D29" s="7">
        <f t="shared" si="1"/>
        <v>0.81526104417670686</v>
      </c>
      <c r="I29" t="s">
        <v>194</v>
      </c>
      <c r="J29" s="8">
        <v>0.2048611111111111</v>
      </c>
      <c r="K29" s="8">
        <v>0.2326388888888889</v>
      </c>
      <c r="L29">
        <f>P29+Q29</f>
        <v>200</v>
      </c>
      <c r="N29">
        <v>103</v>
      </c>
      <c r="O29">
        <v>360</v>
      </c>
      <c r="P29">
        <v>99</v>
      </c>
      <c r="Q29">
        <v>101</v>
      </c>
      <c r="R29" t="s">
        <v>112</v>
      </c>
    </row>
    <row r="30" spans="1:19">
      <c r="A30" s="3">
        <v>45639</v>
      </c>
      <c r="B30" s="4" t="s">
        <v>27</v>
      </c>
      <c r="C30">
        <v>20.2</v>
      </c>
      <c r="D30" s="7">
        <f t="shared" si="1"/>
        <v>0.8112449799196787</v>
      </c>
      <c r="F30">
        <f>L30*R30/1000</f>
        <v>0.93600000000000005</v>
      </c>
      <c r="G30" s="10">
        <f>E30+F30</f>
        <v>0.93600000000000005</v>
      </c>
      <c r="I30" t="s">
        <v>199</v>
      </c>
      <c r="J30" s="8">
        <v>0.21458333333333332</v>
      </c>
      <c r="K30" s="8">
        <v>0.24305555555555555</v>
      </c>
      <c r="L30">
        <f>P30+Q30</f>
        <v>234</v>
      </c>
      <c r="N30">
        <v>145</v>
      </c>
      <c r="O30">
        <v>243</v>
      </c>
      <c r="P30">
        <v>115</v>
      </c>
      <c r="Q30">
        <v>119</v>
      </c>
      <c r="R30">
        <v>4</v>
      </c>
      <c r="S30" t="s">
        <v>200</v>
      </c>
    </row>
    <row r="31" spans="1:19">
      <c r="A31" s="3">
        <v>45640</v>
      </c>
      <c r="B31" s="4" t="s">
        <v>28</v>
      </c>
      <c r="C31">
        <v>20.6</v>
      </c>
      <c r="D31" s="7">
        <f t="shared" si="1"/>
        <v>0.82730923694779124</v>
      </c>
      <c r="E31">
        <v>0.8</v>
      </c>
    </row>
    <row r="32" spans="1:19">
      <c r="A32" s="3">
        <v>45641</v>
      </c>
      <c r="B32" s="4" t="s">
        <v>29</v>
      </c>
      <c r="C32">
        <v>20.5</v>
      </c>
      <c r="D32" s="7">
        <f t="shared" si="1"/>
        <v>0.82329317269076308</v>
      </c>
      <c r="E32">
        <v>0.8</v>
      </c>
    </row>
    <row r="33" spans="1:33">
      <c r="A33" s="3">
        <v>45642</v>
      </c>
      <c r="B33" s="4" t="s">
        <v>19</v>
      </c>
      <c r="C33">
        <v>20.100000000000001</v>
      </c>
      <c r="D33" s="7">
        <f t="shared" si="1"/>
        <v>0.80722891566265076</v>
      </c>
      <c r="I33" t="s">
        <v>194</v>
      </c>
      <c r="J33" s="8">
        <v>0.21111111111111111</v>
      </c>
      <c r="K33" s="8">
        <v>0.21388888888888888</v>
      </c>
      <c r="L33">
        <v>42</v>
      </c>
      <c r="P33">
        <v>21</v>
      </c>
      <c r="Q33">
        <v>21</v>
      </c>
      <c r="R33">
        <v>4</v>
      </c>
      <c r="S33" t="s">
        <v>201</v>
      </c>
    </row>
    <row r="34" spans="1:33" ht="29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2" t="s">
        <v>67</v>
      </c>
      <c r="N34" s="1" t="s">
        <v>68</v>
      </c>
      <c r="O34" s="1" t="s">
        <v>69</v>
      </c>
      <c r="P34" s="1" t="s">
        <v>70</v>
      </c>
      <c r="Q34" s="1" t="s">
        <v>71</v>
      </c>
      <c r="R34" s="2" t="s">
        <v>72</v>
      </c>
      <c r="S34" s="2" t="s">
        <v>73</v>
      </c>
      <c r="T34" s="2" t="s">
        <v>74</v>
      </c>
      <c r="U34" s="2" t="s">
        <v>75</v>
      </c>
      <c r="V34" s="2" t="s">
        <v>76</v>
      </c>
      <c r="W34" s="2" t="s">
        <v>77</v>
      </c>
      <c r="X34" s="2" t="s">
        <v>72</v>
      </c>
      <c r="Y34" s="2" t="s">
        <v>73</v>
      </c>
      <c r="Z34" s="2" t="s">
        <v>74</v>
      </c>
      <c r="AA34" s="2" t="s">
        <v>75</v>
      </c>
      <c r="AB34" s="2" t="s">
        <v>76</v>
      </c>
      <c r="AC34" s="2" t="s">
        <v>77</v>
      </c>
      <c r="AD34" s="1" t="s">
        <v>13</v>
      </c>
      <c r="AE34" s="1" t="s">
        <v>14</v>
      </c>
      <c r="AF34" s="1" t="s">
        <v>80</v>
      </c>
      <c r="AG34" s="1" t="s">
        <v>17</v>
      </c>
    </row>
    <row r="35" spans="1:33">
      <c r="A35" s="3">
        <v>45642</v>
      </c>
      <c r="B35" s="4" t="s">
        <v>19</v>
      </c>
      <c r="C35">
        <v>20.100000000000001</v>
      </c>
      <c r="D35" s="7">
        <f t="shared" ref="D35:D38" si="2">C35/$C$2</f>
        <v>0.80722891566265076</v>
      </c>
      <c r="E35">
        <v>0.6</v>
      </c>
      <c r="I35" t="s">
        <v>202</v>
      </c>
      <c r="J35" s="8">
        <v>0.21388888888888888</v>
      </c>
      <c r="K35" s="8">
        <v>0.24861111111111112</v>
      </c>
      <c r="L35">
        <v>300</v>
      </c>
      <c r="M35" s="11">
        <f>(N35+O35)/2</f>
        <v>0.52046239702365127</v>
      </c>
      <c r="N35" s="11">
        <f t="shared" ref="N35:N37" si="3">(R35+X35)/(R35+S35+X35+Y35)</f>
        <v>0.71698113207547165</v>
      </c>
      <c r="O35" s="11">
        <f t="shared" ref="O35:O37" si="4">(U35+AA35)/(U35+V35+AA35+AB35)</f>
        <v>0.323943661971831</v>
      </c>
      <c r="P35" s="11">
        <f t="shared" ref="P35:P37" si="5">O35-N35</f>
        <v>-0.39303747010364065</v>
      </c>
      <c r="Q35" s="11">
        <f t="shared" ref="Q35:Q37" si="6">(R35+S35+U35+V35+X35+Y35+AA35+AB35)/(R35+S35+U35+V35+X35+Y35+AA35+AB35+W35+Z35+AC35+T35)</f>
        <v>0.40129449838187703</v>
      </c>
      <c r="R35" s="2">
        <v>38</v>
      </c>
      <c r="S35">
        <v>15</v>
      </c>
      <c r="T35">
        <v>99</v>
      </c>
      <c r="U35">
        <v>23</v>
      </c>
      <c r="V35">
        <v>41</v>
      </c>
      <c r="W35">
        <v>79</v>
      </c>
      <c r="X35">
        <v>0</v>
      </c>
      <c r="Y35">
        <v>0</v>
      </c>
      <c r="Z35">
        <v>0</v>
      </c>
      <c r="AA35">
        <v>0</v>
      </c>
      <c r="AB35">
        <v>7</v>
      </c>
      <c r="AC35">
        <v>7</v>
      </c>
      <c r="AD35">
        <v>765</v>
      </c>
      <c r="AE35">
        <v>313</v>
      </c>
      <c r="AF35">
        <v>4</v>
      </c>
    </row>
    <row r="36" spans="1:33">
      <c r="A36" s="3">
        <v>45643</v>
      </c>
      <c r="B36" s="4" t="s">
        <v>22</v>
      </c>
      <c r="C36">
        <v>20</v>
      </c>
      <c r="D36" s="7">
        <f t="shared" si="2"/>
        <v>0.80321285140562249</v>
      </c>
      <c r="E36">
        <v>0.6</v>
      </c>
      <c r="I36" t="s">
        <v>202</v>
      </c>
      <c r="J36" s="8">
        <v>0.23958333333333334</v>
      </c>
      <c r="K36" s="8">
        <v>0.2673611111111111</v>
      </c>
      <c r="L36">
        <v>300</v>
      </c>
      <c r="M36" s="11">
        <f>(N36+O36)/2</f>
        <v>0.56344696969696972</v>
      </c>
      <c r="N36" s="11">
        <f t="shared" si="3"/>
        <v>0.60416666666666663</v>
      </c>
      <c r="O36" s="11">
        <f t="shared" si="4"/>
        <v>0.52272727272727271</v>
      </c>
      <c r="P36" s="11">
        <f t="shared" si="5"/>
        <v>-8.1439393939393923E-2</v>
      </c>
      <c r="Q36" s="11">
        <f t="shared" si="6"/>
        <v>0.30666666666666664</v>
      </c>
      <c r="R36">
        <v>29</v>
      </c>
      <c r="S36">
        <v>19</v>
      </c>
      <c r="T36">
        <v>102</v>
      </c>
      <c r="U36">
        <v>23</v>
      </c>
      <c r="V36">
        <v>21</v>
      </c>
      <c r="W36">
        <v>106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290</v>
      </c>
      <c r="AE36">
        <v>310</v>
      </c>
      <c r="AF36">
        <v>4</v>
      </c>
    </row>
    <row r="37" spans="1:33">
      <c r="A37" s="3">
        <v>45644</v>
      </c>
      <c r="B37" s="4" t="s">
        <v>24</v>
      </c>
      <c r="C37">
        <v>20</v>
      </c>
      <c r="D37" s="7">
        <f t="shared" si="2"/>
        <v>0.80321285140562249</v>
      </c>
      <c r="E37">
        <v>0.4</v>
      </c>
      <c r="F37" s="10">
        <f t="shared" ref="F37" si="7">(R37+U37+X37+AA37)*AF37/1000</f>
        <v>0.33600000000000002</v>
      </c>
      <c r="G37" s="10">
        <f>E37+F37</f>
        <v>0.73599999999999999</v>
      </c>
      <c r="I37" t="s">
        <v>202</v>
      </c>
      <c r="J37" s="8">
        <v>0.16319444444444445</v>
      </c>
      <c r="K37" s="8">
        <v>0.19791666666666666</v>
      </c>
      <c r="L37">
        <v>300</v>
      </c>
      <c r="M37" s="11">
        <f>(N37+O37)/2</f>
        <v>0.61375661375661372</v>
      </c>
      <c r="N37" s="11">
        <f t="shared" si="3"/>
        <v>0.37037037037037035</v>
      </c>
      <c r="O37" s="11">
        <f t="shared" si="4"/>
        <v>0.8571428571428571</v>
      </c>
      <c r="P37" s="11">
        <f t="shared" si="5"/>
        <v>0.48677248677248675</v>
      </c>
      <c r="Q37" s="11">
        <f t="shared" si="6"/>
        <v>0.32</v>
      </c>
      <c r="R37">
        <v>19</v>
      </c>
      <c r="S37">
        <v>31</v>
      </c>
      <c r="T37">
        <v>83</v>
      </c>
      <c r="U37">
        <v>36</v>
      </c>
      <c r="V37">
        <v>6</v>
      </c>
      <c r="W37">
        <v>90</v>
      </c>
      <c r="X37">
        <v>1</v>
      </c>
      <c r="Y37">
        <v>3</v>
      </c>
      <c r="Z37">
        <v>31</v>
      </c>
      <c r="AA37">
        <v>0</v>
      </c>
      <c r="AB37">
        <v>0</v>
      </c>
      <c r="AC37">
        <v>0</v>
      </c>
      <c r="AD37">
        <v>122</v>
      </c>
      <c r="AE37">
        <v>574</v>
      </c>
      <c r="AF37">
        <v>6</v>
      </c>
    </row>
    <row r="38" spans="1:33">
      <c r="A38" s="3">
        <v>45645</v>
      </c>
      <c r="B38" s="4" t="s">
        <v>26</v>
      </c>
      <c r="C38">
        <v>20.2</v>
      </c>
      <c r="D38" s="7">
        <f t="shared" si="2"/>
        <v>0.8112449799196787</v>
      </c>
      <c r="E38">
        <v>0.3</v>
      </c>
      <c r="F38" s="10">
        <f t="shared" ref="F38:G38" si="8">(R38+U38+X38+AA38)*AF38/1000</f>
        <v>0.252</v>
      </c>
      <c r="G38" s="10">
        <f t="shared" ref="G38:G45" si="9">E38+F38</f>
        <v>0.55200000000000005</v>
      </c>
      <c r="I38" t="s">
        <v>202</v>
      </c>
      <c r="J38" s="8">
        <v>0.17222222222222222</v>
      </c>
      <c r="K38" s="8">
        <v>0.20624999999999999</v>
      </c>
      <c r="L38">
        <v>300</v>
      </c>
      <c r="M38" s="11">
        <f>(N38+O38)/2</f>
        <v>0.58067158067158076</v>
      </c>
      <c r="N38" s="11">
        <f t="shared" ref="N38" si="10">(R38+X38)/(R38+S38+X38+Y38)</f>
        <v>0.24242424242424243</v>
      </c>
      <c r="O38" s="11">
        <f t="shared" ref="O38" si="11">(U38+AA38)/(U38+V38+AA38+AB38)</f>
        <v>0.91891891891891897</v>
      </c>
      <c r="P38" s="11">
        <f t="shared" ref="P38" si="12">O38-N38</f>
        <v>0.67649467649467654</v>
      </c>
      <c r="Q38" s="11">
        <f t="shared" ref="Q38" si="13">(R38+S38+U38+V38+X38+Y38+AA38+AB38)/(R38+S38+U38+V38+X38+Y38+AA38+AB38+W38+Z38+AC38+T38)</f>
        <v>0.23333333333333334</v>
      </c>
      <c r="R38">
        <v>8</v>
      </c>
      <c r="S38">
        <v>25</v>
      </c>
      <c r="T38">
        <v>117</v>
      </c>
      <c r="U38">
        <v>34</v>
      </c>
      <c r="V38">
        <v>3</v>
      </c>
      <c r="W38">
        <v>113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54</v>
      </c>
      <c r="AE38">
        <v>515</v>
      </c>
      <c r="AF38">
        <v>6</v>
      </c>
    </row>
    <row r="39" spans="1:33">
      <c r="A39" s="3">
        <v>45646</v>
      </c>
      <c r="B39" s="4" t="s">
        <v>27</v>
      </c>
      <c r="C39">
        <v>20.100000000000001</v>
      </c>
      <c r="D39" s="7">
        <f t="shared" ref="D39:D59" si="14">C39/$C$2</f>
        <v>0.80722891566265076</v>
      </c>
      <c r="F39" s="10">
        <f t="shared" ref="F39:F45" si="15">(R39+U39+X39+AA39)*AF39/1000</f>
        <v>0.27</v>
      </c>
      <c r="G39" s="10">
        <f t="shared" si="9"/>
        <v>0.27</v>
      </c>
      <c r="I39" t="s">
        <v>202</v>
      </c>
      <c r="J39" s="8">
        <v>0.21388888888888888</v>
      </c>
      <c r="L39">
        <v>300</v>
      </c>
      <c r="M39" s="11">
        <f>(N39+O39)/2</f>
        <v>0.51495215311004783</v>
      </c>
      <c r="N39" s="11">
        <f t="shared" ref="N39" si="16">(R39+X39)/(R39+S39+X39+Y39)</f>
        <v>5.2631578947368418E-2</v>
      </c>
      <c r="O39" s="11">
        <f t="shared" ref="O39" si="17">(U39+AA39)/(U39+V39+AA39+AB39)</f>
        <v>0.97727272727272729</v>
      </c>
      <c r="P39" s="11">
        <f t="shared" ref="P39" si="18">O39-N39</f>
        <v>0.92464114832535893</v>
      </c>
      <c r="Q39" s="11">
        <f t="shared" ref="Q39" si="19">(R39+S39+U39+V39+X39+Y39+AA39+AB39)/(R39+S39+U39+V39+X39+Y39+AA39+AB39+W39+Z39+AC39+T39)</f>
        <v>0.33469387755102042</v>
      </c>
      <c r="R39">
        <v>1</v>
      </c>
      <c r="S39">
        <v>36</v>
      </c>
      <c r="T39">
        <v>78</v>
      </c>
      <c r="U39">
        <v>43</v>
      </c>
      <c r="V39">
        <v>1</v>
      </c>
      <c r="W39">
        <v>65</v>
      </c>
      <c r="X39">
        <v>1</v>
      </c>
      <c r="Y39">
        <v>0</v>
      </c>
      <c r="Z39">
        <v>20</v>
      </c>
      <c r="AA39">
        <v>0</v>
      </c>
      <c r="AB39">
        <v>0</v>
      </c>
      <c r="AC39">
        <v>0</v>
      </c>
      <c r="AD39">
        <v>17</v>
      </c>
      <c r="AE39">
        <v>734</v>
      </c>
      <c r="AF39">
        <v>6</v>
      </c>
    </row>
    <row r="40" spans="1:33">
      <c r="A40" s="3">
        <v>45647</v>
      </c>
      <c r="B40" s="4" t="s">
        <v>28</v>
      </c>
      <c r="C40">
        <v>19.3</v>
      </c>
      <c r="D40" s="7">
        <f t="shared" si="14"/>
        <v>0.77510040160642579</v>
      </c>
      <c r="E40">
        <v>1.2</v>
      </c>
      <c r="F40" s="10"/>
      <c r="G40" s="10">
        <f t="shared" si="9"/>
        <v>1.2</v>
      </c>
      <c r="I40" t="s">
        <v>113</v>
      </c>
    </row>
    <row r="41" spans="1:33">
      <c r="A41" s="3">
        <v>45648</v>
      </c>
      <c r="B41" s="4" t="s">
        <v>29</v>
      </c>
      <c r="C41">
        <v>19.8</v>
      </c>
      <c r="D41" s="7">
        <f t="shared" si="14"/>
        <v>0.79518072289156638</v>
      </c>
      <c r="F41" s="10"/>
      <c r="G41" s="10"/>
      <c r="I41" t="s">
        <v>104</v>
      </c>
      <c r="J41" s="12" t="s">
        <v>203</v>
      </c>
      <c r="K41" t="s">
        <v>204</v>
      </c>
      <c r="L41">
        <v>303</v>
      </c>
      <c r="M41">
        <v>4072</v>
      </c>
      <c r="N41">
        <v>188</v>
      </c>
      <c r="O41">
        <v>509</v>
      </c>
      <c r="P41">
        <v>154</v>
      </c>
      <c r="Q41">
        <v>149</v>
      </c>
      <c r="R41">
        <v>4</v>
      </c>
    </row>
    <row r="42" spans="1:33">
      <c r="A42" s="3">
        <v>45649</v>
      </c>
      <c r="B42" s="4" t="s">
        <v>19</v>
      </c>
      <c r="C42">
        <v>19.7</v>
      </c>
      <c r="D42" s="7">
        <f t="shared" si="14"/>
        <v>0.79116465863453822</v>
      </c>
      <c r="E42">
        <v>1</v>
      </c>
      <c r="F42" s="10">
        <f t="shared" si="15"/>
        <v>0.45</v>
      </c>
      <c r="G42" s="10">
        <f t="shared" si="9"/>
        <v>1.45</v>
      </c>
      <c r="I42" t="s">
        <v>205</v>
      </c>
      <c r="J42" s="8">
        <v>0.16458333333333333</v>
      </c>
      <c r="K42" s="8">
        <v>0.20208333333333334</v>
      </c>
      <c r="L42">
        <v>300</v>
      </c>
      <c r="M42" s="11">
        <f>(N42+O42)/2</f>
        <v>0.55420054200542002</v>
      </c>
      <c r="N42" s="11">
        <f t="shared" ref="N42" si="20">(R42+X42)/(R42+S42+X42+Y42)</f>
        <v>0.21951219512195122</v>
      </c>
      <c r="O42" s="11">
        <f t="shared" ref="O42" si="21">(U42+AA42)/(U42+V42+AA42+AB42)</f>
        <v>0.88888888888888884</v>
      </c>
      <c r="P42" s="11">
        <f t="shared" ref="P42" si="22">O42-N42</f>
        <v>0.66937669376693765</v>
      </c>
      <c r="Q42" s="11">
        <f t="shared" ref="Q42" si="23">(R42+S42+U42+V42+X42+Y42+AA42+AB42)/(R42+S42+U42+V42+X42+Y42+AA42+AB42+W42+Z42+AC42+T42)</f>
        <v>0.59</v>
      </c>
      <c r="R42">
        <v>13</v>
      </c>
      <c r="S42">
        <v>60</v>
      </c>
      <c r="T42">
        <v>43</v>
      </c>
      <c r="U42">
        <v>48</v>
      </c>
      <c r="V42">
        <v>6</v>
      </c>
      <c r="W42">
        <v>37</v>
      </c>
      <c r="X42">
        <v>14</v>
      </c>
      <c r="Y42">
        <v>36</v>
      </c>
      <c r="Z42">
        <v>43</v>
      </c>
      <c r="AA42">
        <v>0</v>
      </c>
      <c r="AB42">
        <v>0</v>
      </c>
      <c r="AC42">
        <v>0</v>
      </c>
      <c r="AD42">
        <v>391</v>
      </c>
      <c r="AE42">
        <v>1379</v>
      </c>
      <c r="AF42">
        <v>6</v>
      </c>
    </row>
    <row r="43" spans="1:33">
      <c r="A43" s="3">
        <v>45650</v>
      </c>
      <c r="B43" s="4" t="s">
        <v>22</v>
      </c>
      <c r="D43" s="7">
        <f t="shared" si="14"/>
        <v>0</v>
      </c>
      <c r="F43" s="10"/>
      <c r="G43" s="10"/>
      <c r="I43" t="s">
        <v>113</v>
      </c>
    </row>
    <row r="44" spans="1:33">
      <c r="A44" s="3">
        <v>45651</v>
      </c>
      <c r="B44" s="4" t="s">
        <v>24</v>
      </c>
      <c r="C44">
        <v>20.3</v>
      </c>
      <c r="D44" s="7">
        <f t="shared" si="14"/>
        <v>0.81526104417670686</v>
      </c>
      <c r="E44">
        <v>0.4</v>
      </c>
      <c r="F44" s="10">
        <f t="shared" si="15"/>
        <v>0.58799999999999997</v>
      </c>
      <c r="G44" s="10">
        <f t="shared" si="9"/>
        <v>0.98799999999999999</v>
      </c>
      <c r="I44" t="s">
        <v>202</v>
      </c>
      <c r="J44" s="8">
        <v>0.47916666666666669</v>
      </c>
      <c r="K44" s="8">
        <v>0.51388888888888884</v>
      </c>
      <c r="L44">
        <v>300</v>
      </c>
      <c r="M44" s="11">
        <f>(N44+O44)/2</f>
        <v>0.60755449047129972</v>
      </c>
      <c r="N44" s="11">
        <f t="shared" ref="N44" si="24">(R44+X44)/(R44+S44+X44+Y44)</f>
        <v>0.24409448818897639</v>
      </c>
      <c r="O44" s="11">
        <f t="shared" ref="O44" si="25">(U44+AA44)/(U44+V44+AA44+AB44)</f>
        <v>0.97101449275362317</v>
      </c>
      <c r="P44" s="11">
        <f t="shared" ref="P44" si="26">O44-N44</f>
        <v>0.72692000456464678</v>
      </c>
      <c r="Q44" s="11">
        <f t="shared" ref="Q44" si="27">(R44+S44+U44+V44+X44+Y44+AA44+AB44)/(R44+S44+U44+V44+X44+Y44+AA44+AB44+W44+Z44+AC44+T44)</f>
        <v>0.65333333333333332</v>
      </c>
      <c r="R44">
        <v>10</v>
      </c>
      <c r="S44">
        <v>65</v>
      </c>
      <c r="T44">
        <v>43</v>
      </c>
      <c r="U44">
        <v>67</v>
      </c>
      <c r="V44">
        <v>2</v>
      </c>
      <c r="W44">
        <v>17</v>
      </c>
      <c r="X44">
        <v>21</v>
      </c>
      <c r="Y44">
        <v>31</v>
      </c>
      <c r="Z44">
        <v>44</v>
      </c>
      <c r="AA44">
        <v>0</v>
      </c>
      <c r="AB44">
        <v>0</v>
      </c>
      <c r="AC44">
        <v>0</v>
      </c>
      <c r="AD44">
        <v>246</v>
      </c>
      <c r="AE44">
        <v>1368</v>
      </c>
      <c r="AF44">
        <v>6</v>
      </c>
    </row>
    <row r="45" spans="1:33">
      <c r="A45" s="3">
        <v>45652</v>
      </c>
      <c r="B45" s="4" t="s">
        <v>26</v>
      </c>
      <c r="C45">
        <v>20.100000000000001</v>
      </c>
      <c r="D45" s="7">
        <f t="shared" si="14"/>
        <v>0.80722891566265076</v>
      </c>
      <c r="E45">
        <v>0.2</v>
      </c>
      <c r="F45" s="10">
        <f t="shared" si="15"/>
        <v>0.876</v>
      </c>
      <c r="G45" s="10">
        <f t="shared" si="9"/>
        <v>1.0760000000000001</v>
      </c>
      <c r="I45" t="s">
        <v>202</v>
      </c>
      <c r="J45" s="8">
        <v>0.19444444444444445</v>
      </c>
      <c r="K45" s="8">
        <v>0.22430555555555556</v>
      </c>
      <c r="L45">
        <v>300</v>
      </c>
      <c r="M45" s="11">
        <f>(N45+O45)/2</f>
        <v>0.6642149615612063</v>
      </c>
      <c r="N45" s="11">
        <f t="shared" ref="N45" si="28">(R45+X45)/(R45+S45+X45+Y45)</f>
        <v>0.44078947368421051</v>
      </c>
      <c r="O45" s="11">
        <f t="shared" ref="O45" si="29">(U45+AA45)/(U45+V45+AA45+AB45)</f>
        <v>0.88764044943820219</v>
      </c>
      <c r="P45" s="11">
        <f t="shared" ref="P45" si="30">O45-N45</f>
        <v>0.44685097575399169</v>
      </c>
      <c r="Q45" s="11">
        <f t="shared" ref="Q45" si="31">(R45+S45+U45+V45+X45+Y45+AA45+AB45)/(R45+S45+U45+V45+X45+Y45+AA45+AB45+W45+Z45+AC45+T45)</f>
        <v>0.80333333333333334</v>
      </c>
      <c r="R45">
        <v>25</v>
      </c>
      <c r="S45">
        <v>73</v>
      </c>
      <c r="T45">
        <v>24</v>
      </c>
      <c r="U45">
        <v>79</v>
      </c>
      <c r="V45">
        <v>10</v>
      </c>
      <c r="W45">
        <v>11</v>
      </c>
      <c r="X45">
        <v>42</v>
      </c>
      <c r="Y45">
        <v>12</v>
      </c>
      <c r="Z45">
        <v>23</v>
      </c>
      <c r="AA45">
        <v>0</v>
      </c>
      <c r="AB45">
        <v>0</v>
      </c>
      <c r="AC45">
        <v>1</v>
      </c>
      <c r="AD45">
        <v>436</v>
      </c>
      <c r="AE45">
        <v>1069</v>
      </c>
      <c r="AF45">
        <v>6</v>
      </c>
    </row>
    <row r="46" spans="1:33" ht="49.5" customHeight="1">
      <c r="A46" s="3">
        <v>45653</v>
      </c>
      <c r="B46" s="4" t="s">
        <v>27</v>
      </c>
      <c r="C46">
        <v>20.100000000000001</v>
      </c>
      <c r="D46" s="7">
        <f t="shared" si="14"/>
        <v>0.80722891566265076</v>
      </c>
      <c r="E46">
        <v>1.2</v>
      </c>
      <c r="I46" s="1" t="s">
        <v>206</v>
      </c>
    </row>
    <row r="47" spans="1:33">
      <c r="A47" s="3">
        <v>45654</v>
      </c>
      <c r="B47" s="4" t="s">
        <v>28</v>
      </c>
      <c r="C47">
        <v>20.3</v>
      </c>
      <c r="D47" s="7">
        <f t="shared" si="14"/>
        <v>0.81526104417670686</v>
      </c>
      <c r="E47">
        <v>1.1000000000000001</v>
      </c>
      <c r="I47" t="s">
        <v>169</v>
      </c>
    </row>
    <row r="48" spans="1:33">
      <c r="A48" s="3">
        <v>45655</v>
      </c>
      <c r="B48" s="4" t="s">
        <v>29</v>
      </c>
      <c r="C48">
        <v>20.100000000000001</v>
      </c>
      <c r="D48" s="7">
        <f t="shared" si="14"/>
        <v>0.80722891566265076</v>
      </c>
      <c r="E48">
        <v>1.2</v>
      </c>
      <c r="I48" t="s">
        <v>169</v>
      </c>
    </row>
    <row r="49" spans="1:32">
      <c r="A49" s="3">
        <v>45656</v>
      </c>
      <c r="B49" s="4" t="s">
        <v>19</v>
      </c>
      <c r="C49">
        <v>21.2</v>
      </c>
      <c r="D49" s="7">
        <f t="shared" si="14"/>
        <v>0.85140562248995988</v>
      </c>
      <c r="I49" t="s">
        <v>207</v>
      </c>
    </row>
    <row r="50" spans="1:32" ht="14.25" customHeight="1">
      <c r="A50" s="3">
        <v>45657</v>
      </c>
      <c r="B50" s="4" t="s">
        <v>22</v>
      </c>
      <c r="C50">
        <v>21.3</v>
      </c>
      <c r="D50" s="7">
        <f t="shared" si="14"/>
        <v>0.85542168674698804</v>
      </c>
      <c r="I50" s="17" t="s">
        <v>208</v>
      </c>
      <c r="J50" s="8">
        <v>0.19791666666666666</v>
      </c>
      <c r="L50">
        <v>300</v>
      </c>
      <c r="M50" s="11">
        <f>(N50+O50)/2</f>
        <v>0.64126016260162599</v>
      </c>
      <c r="N50" s="11">
        <f t="shared" ref="N50" si="32">(R50+X50)/(R50+S50+X50+Y50)</f>
        <v>0.41666666666666669</v>
      </c>
      <c r="O50" s="11">
        <f t="shared" ref="O50" si="33">(U50+AA50)/(U50+V50+AA50+AB50)</f>
        <v>0.86585365853658536</v>
      </c>
      <c r="P50" s="11">
        <f t="shared" ref="P50" si="34">O50-N50</f>
        <v>0.44918699186991867</v>
      </c>
      <c r="Q50" s="11">
        <f t="shared" ref="Q50" si="35">(R50+S50+U50+V50+X50+Y50+AA50+AB50)/(R50+S50+U50+V50+X50+Y50+AA50+AB50+W50+Z50+AC50+T50)</f>
        <v>0.5049180327868853</v>
      </c>
      <c r="R50">
        <v>24</v>
      </c>
      <c r="S50">
        <v>28</v>
      </c>
      <c r="T50">
        <v>80</v>
      </c>
      <c r="U50">
        <v>52</v>
      </c>
      <c r="V50">
        <v>8</v>
      </c>
      <c r="W50">
        <v>33</v>
      </c>
      <c r="X50">
        <v>6</v>
      </c>
      <c r="Y50">
        <v>14</v>
      </c>
      <c r="Z50">
        <v>29</v>
      </c>
      <c r="AA50">
        <v>19</v>
      </c>
      <c r="AB50">
        <v>3</v>
      </c>
      <c r="AC50">
        <v>9</v>
      </c>
      <c r="AD50">
        <v>98</v>
      </c>
      <c r="AE50">
        <v>423</v>
      </c>
      <c r="AF50">
        <v>6</v>
      </c>
    </row>
    <row r="51" spans="1:32">
      <c r="A51" s="3">
        <v>45658</v>
      </c>
      <c r="B51" s="4" t="s">
        <v>24</v>
      </c>
      <c r="C51">
        <v>21</v>
      </c>
      <c r="D51" s="7">
        <f t="shared" si="14"/>
        <v>0.84337349397590367</v>
      </c>
      <c r="I51" s="17" t="s">
        <v>208</v>
      </c>
      <c r="J51" s="8">
        <v>0.12152777777777778</v>
      </c>
      <c r="L51">
        <v>300</v>
      </c>
      <c r="M51" s="11">
        <f>(N51+O51)/2</f>
        <v>0.61339869281045756</v>
      </c>
      <c r="N51" s="11">
        <f t="shared" ref="N51" si="36">(R51+X51)/(R51+S51+X51+Y51)</f>
        <v>0.28235294117647058</v>
      </c>
      <c r="O51" s="11">
        <f t="shared" ref="O51" si="37">(U51+AA51)/(U51+V51+AA51+AB51)</f>
        <v>0.94444444444444442</v>
      </c>
      <c r="P51" s="11">
        <f t="shared" ref="P51" si="38">O51-N51</f>
        <v>0.66209150326797384</v>
      </c>
      <c r="Q51" s="11">
        <f t="shared" ref="Q51" si="39">(R51+S51+U51+V51+X51+Y51+AA51+AB51)/(R51+S51+U51+V51+X51+Y51+AA51+AB51+W51+Z51+AC51+T51)</f>
        <v>0.58333333333333337</v>
      </c>
      <c r="R51">
        <v>19</v>
      </c>
      <c r="S51">
        <v>38</v>
      </c>
      <c r="T51">
        <v>53</v>
      </c>
      <c r="U51">
        <v>62</v>
      </c>
      <c r="V51">
        <v>2</v>
      </c>
      <c r="W51">
        <v>26</v>
      </c>
      <c r="X51">
        <v>5</v>
      </c>
      <c r="Y51">
        <v>23</v>
      </c>
      <c r="Z51">
        <v>27</v>
      </c>
      <c r="AA51">
        <v>23</v>
      </c>
      <c r="AB51">
        <v>3</v>
      </c>
      <c r="AC51">
        <v>19</v>
      </c>
      <c r="AD51">
        <v>81</v>
      </c>
      <c r="AE51">
        <v>501</v>
      </c>
      <c r="AF51">
        <v>6</v>
      </c>
    </row>
    <row r="52" spans="1:32">
      <c r="A52" s="3">
        <v>45659</v>
      </c>
      <c r="B52" s="4" t="s">
        <v>26</v>
      </c>
      <c r="C52">
        <v>20.3</v>
      </c>
      <c r="D52" s="7">
        <f t="shared" si="14"/>
        <v>0.81526104417670686</v>
      </c>
      <c r="E52">
        <v>0.4</v>
      </c>
      <c r="I52" s="17" t="s">
        <v>208</v>
      </c>
      <c r="J52" s="8">
        <v>0.20833333333333334</v>
      </c>
      <c r="L52">
        <v>300</v>
      </c>
      <c r="M52" s="11">
        <f>(N52+O52)/2</f>
        <v>0.63211345740873304</v>
      </c>
      <c r="N52" s="11">
        <f t="shared" ref="N52" si="40">(R52+X52)/(R52+S52+X52+Y52)</f>
        <v>0.27559055118110237</v>
      </c>
      <c r="O52" s="11">
        <f t="shared" ref="O52" si="41">(U52+AA52)/(U52+V52+AA52+AB52)</f>
        <v>0.98863636363636365</v>
      </c>
      <c r="P52" s="11">
        <f t="shared" ref="P52" si="42">O52-N52</f>
        <v>0.71304581245526122</v>
      </c>
      <c r="Q52" s="11">
        <f t="shared" ref="Q52" si="43">(R52+S52+U52+V52+X52+Y52+AA52+AB52)/(R52+S52+U52+V52+X52+Y52+AA52+AB52+W52+Z52+AC52+T52)</f>
        <v>0.71666666666666667</v>
      </c>
      <c r="R52">
        <v>24</v>
      </c>
      <c r="S52">
        <v>62</v>
      </c>
      <c r="T52">
        <v>44</v>
      </c>
      <c r="U52">
        <v>58</v>
      </c>
      <c r="V52">
        <v>1</v>
      </c>
      <c r="W52">
        <v>11</v>
      </c>
      <c r="X52">
        <v>11</v>
      </c>
      <c r="Y52">
        <v>30</v>
      </c>
      <c r="Z52">
        <v>24</v>
      </c>
      <c r="AA52">
        <v>29</v>
      </c>
      <c r="AB52">
        <v>0</v>
      </c>
      <c r="AC52">
        <v>6</v>
      </c>
      <c r="AD52">
        <v>182</v>
      </c>
      <c r="AE52">
        <v>749</v>
      </c>
      <c r="AF52">
        <v>6</v>
      </c>
    </row>
    <row r="53" spans="1:32">
      <c r="A53" s="3">
        <v>45660</v>
      </c>
      <c r="B53" s="4" t="s">
        <v>27</v>
      </c>
      <c r="C53">
        <v>20</v>
      </c>
      <c r="D53" s="7">
        <f t="shared" si="14"/>
        <v>0.80321285140562249</v>
      </c>
      <c r="I53" s="17" t="s">
        <v>208</v>
      </c>
      <c r="J53" s="8">
        <v>0.19791666666666666</v>
      </c>
      <c r="L53">
        <v>300</v>
      </c>
      <c r="M53" s="11">
        <f>(N53+O53)/2</f>
        <v>0.70225563909774436</v>
      </c>
      <c r="N53" s="11">
        <f t="shared" ref="N53" si="44">(R53+X53)/(R53+S53+X53+Y53)</f>
        <v>0.54736842105263162</v>
      </c>
      <c r="O53" s="11">
        <f t="shared" ref="O53" si="45">(U53+AA53)/(U53+V53+AA53+AB53)</f>
        <v>0.8571428571428571</v>
      </c>
      <c r="P53" s="11">
        <f t="shared" ref="P53" si="46">O53-N53</f>
        <v>0.30977443609022548</v>
      </c>
      <c r="Q53" s="11">
        <f t="shared" ref="Q53" si="47">(R53+S53+U53+V53+X53+Y53+AA53+AB53)/(R53+S53+U53+V53+X53+Y53+AA53+AB53+W53+Z53+AC53+T53)</f>
        <v>0.69</v>
      </c>
      <c r="R53">
        <v>35</v>
      </c>
      <c r="S53">
        <v>31</v>
      </c>
      <c r="T53">
        <v>42</v>
      </c>
      <c r="U53">
        <v>65</v>
      </c>
      <c r="V53">
        <v>13</v>
      </c>
      <c r="W53">
        <v>14</v>
      </c>
      <c r="X53">
        <v>17</v>
      </c>
      <c r="Y53">
        <v>12</v>
      </c>
      <c r="Z53">
        <v>25</v>
      </c>
      <c r="AA53">
        <v>31</v>
      </c>
      <c r="AB53">
        <v>3</v>
      </c>
      <c r="AC53">
        <v>12</v>
      </c>
      <c r="AD53">
        <v>168</v>
      </c>
      <c r="AE53">
        <v>499</v>
      </c>
      <c r="AF53">
        <v>6</v>
      </c>
    </row>
    <row r="54" spans="1:32">
      <c r="A54" s="3">
        <v>45661</v>
      </c>
      <c r="B54" s="4" t="s">
        <v>28</v>
      </c>
      <c r="C54">
        <v>19.7</v>
      </c>
      <c r="D54" s="7">
        <f t="shared" si="14"/>
        <v>0.79116465863453822</v>
      </c>
      <c r="E54">
        <v>1.6</v>
      </c>
    </row>
    <row r="55" spans="1:32">
      <c r="A55" s="3">
        <v>45662</v>
      </c>
      <c r="B55" s="4" t="s">
        <v>29</v>
      </c>
      <c r="C55">
        <v>21</v>
      </c>
      <c r="D55" s="7">
        <f t="shared" si="14"/>
        <v>0.84337349397590367</v>
      </c>
      <c r="E55">
        <v>1</v>
      </c>
    </row>
    <row r="56" spans="1:32">
      <c r="A56" s="3">
        <v>45663</v>
      </c>
      <c r="B56" s="4" t="s">
        <v>19</v>
      </c>
      <c r="C56">
        <v>20.5</v>
      </c>
      <c r="D56" s="7">
        <f t="shared" si="14"/>
        <v>0.82329317269076308</v>
      </c>
      <c r="I56" s="17" t="s">
        <v>208</v>
      </c>
      <c r="L56">
        <v>300</v>
      </c>
      <c r="M56" s="11">
        <f>(N56+O56)/2</f>
        <v>0.67432483120780196</v>
      </c>
      <c r="N56" s="11">
        <f t="shared" ref="N56" si="48">(R56+X56)/(R56+S56+X56+Y56)</f>
        <v>0.39516129032258063</v>
      </c>
      <c r="O56" s="11">
        <f t="shared" ref="O56" si="49">(U56+AA56)/(U56+V56+AA56+AB56)</f>
        <v>0.95348837209302328</v>
      </c>
      <c r="P56" s="11">
        <f t="shared" ref="P56" si="50">O56-N56</f>
        <v>0.55832708177044266</v>
      </c>
      <c r="Q56" s="11">
        <f t="shared" ref="Q56" si="51">(R56+S56+U56+V56+X56+Y56+AA56+AB56)/(R56+S56+U56+V56+X56+Y56+AA56+AB56+W56+Z56+AC56+T56)</f>
        <v>0.7</v>
      </c>
      <c r="R56">
        <v>30</v>
      </c>
      <c r="S56">
        <v>51</v>
      </c>
      <c r="T56">
        <v>57</v>
      </c>
      <c r="U56">
        <v>54</v>
      </c>
      <c r="V56">
        <v>2</v>
      </c>
      <c r="W56">
        <v>6</v>
      </c>
      <c r="X56">
        <v>19</v>
      </c>
      <c r="Y56">
        <v>24</v>
      </c>
      <c r="Z56">
        <v>26</v>
      </c>
      <c r="AA56">
        <v>28</v>
      </c>
      <c r="AB56">
        <v>2</v>
      </c>
      <c r="AC56">
        <v>1</v>
      </c>
      <c r="AD56">
        <v>187</v>
      </c>
      <c r="AE56">
        <v>805</v>
      </c>
      <c r="AF56">
        <v>6</v>
      </c>
    </row>
    <row r="57" spans="1:32">
      <c r="A57" s="3">
        <v>45664</v>
      </c>
      <c r="B57" s="4" t="s">
        <v>22</v>
      </c>
      <c r="I57" s="17" t="s">
        <v>208</v>
      </c>
      <c r="L57">
        <v>300</v>
      </c>
      <c r="M57" s="11">
        <f>(N57+O57)/2</f>
        <v>0.78455517373043149</v>
      </c>
      <c r="N57" s="11">
        <f t="shared" ref="N57" si="52">(R57+X57)/(R57+S57+X57+Y57)</f>
        <v>0.58762886597938147</v>
      </c>
      <c r="O57" s="11">
        <f t="shared" ref="O57" si="53">(U57+AA57)/(U57+V57+AA57+AB57)</f>
        <v>0.98148148148148151</v>
      </c>
      <c r="P57" s="11">
        <f t="shared" ref="P57" si="54">O57-N57</f>
        <v>0.39385261550210005</v>
      </c>
      <c r="Q57" s="11">
        <f t="shared" ref="Q57" si="55">(R57+S57+U57+V57+X57+Y57+AA57+AB57)/(R57+S57+U57+V57+X57+Y57+AA57+AB57+W57+Z57+AC57+T57)</f>
        <v>0.68333333333333335</v>
      </c>
      <c r="R57">
        <v>38</v>
      </c>
      <c r="S57">
        <v>25</v>
      </c>
      <c r="T57">
        <v>57</v>
      </c>
      <c r="U57">
        <v>69</v>
      </c>
      <c r="V57">
        <v>2</v>
      </c>
      <c r="W57">
        <v>9</v>
      </c>
      <c r="X57">
        <v>19</v>
      </c>
      <c r="Y57">
        <v>15</v>
      </c>
      <c r="Z57">
        <v>26</v>
      </c>
      <c r="AA57">
        <v>37</v>
      </c>
      <c r="AB57">
        <v>0</v>
      </c>
      <c r="AC57">
        <v>3</v>
      </c>
      <c r="AD57">
        <v>117</v>
      </c>
      <c r="AE57">
        <v>471</v>
      </c>
      <c r="AF57">
        <v>6</v>
      </c>
    </row>
    <row r="58" spans="1:32">
      <c r="A58" s="3">
        <v>45665</v>
      </c>
      <c r="B58" s="4" t="s">
        <v>24</v>
      </c>
      <c r="C58">
        <v>20.5</v>
      </c>
      <c r="D58" s="7">
        <f t="shared" si="14"/>
        <v>0.82329317269076308</v>
      </c>
      <c r="I58" s="17" t="s">
        <v>208</v>
      </c>
      <c r="J58" s="8">
        <v>0.22916666666666666</v>
      </c>
      <c r="L58">
        <v>300</v>
      </c>
      <c r="M58" s="11">
        <f>(N58+O58)/2</f>
        <v>0.76923076923076916</v>
      </c>
      <c r="N58" s="11">
        <f t="shared" ref="N58" si="56">(R58+X58)/(R58+S58+X58+Y58)</f>
        <v>0.53846153846153844</v>
      </c>
      <c r="O58" s="11">
        <f t="shared" ref="O58" si="57">(U58+AA58)/(U58+V58+AA58+AB58)</f>
        <v>1</v>
      </c>
      <c r="P58" s="11">
        <f t="shared" ref="P58" si="58">O58-N58</f>
        <v>0.46153846153846156</v>
      </c>
      <c r="Q58" s="11">
        <f t="shared" ref="Q58" si="59">(R58+S58+U58+V58+X58+Y58+AA58+AB58)/(R58+S58+U58+V58+X58+Y58+AA58+AB58+W58+Z58+AC58+T58)</f>
        <v>0.53666666666666663</v>
      </c>
      <c r="R58">
        <v>25</v>
      </c>
      <c r="S58">
        <v>20</v>
      </c>
      <c r="T58">
        <v>81</v>
      </c>
      <c r="U58">
        <v>64</v>
      </c>
      <c r="V58">
        <v>0</v>
      </c>
      <c r="W58">
        <v>10</v>
      </c>
      <c r="X58">
        <v>10</v>
      </c>
      <c r="Y58">
        <v>10</v>
      </c>
      <c r="Z58">
        <v>43</v>
      </c>
      <c r="AA58">
        <v>32</v>
      </c>
      <c r="AB58">
        <v>0</v>
      </c>
      <c r="AC58">
        <v>5</v>
      </c>
      <c r="AD58">
        <v>59</v>
      </c>
      <c r="AE58">
        <v>666</v>
      </c>
      <c r="AF58">
        <v>6</v>
      </c>
    </row>
    <row r="59" spans="1:32">
      <c r="A59" s="3">
        <v>45666</v>
      </c>
      <c r="B59" s="4" t="s">
        <v>26</v>
      </c>
      <c r="C59">
        <v>20.2</v>
      </c>
      <c r="D59" s="7">
        <f t="shared" si="14"/>
        <v>0.8112449799196787</v>
      </c>
      <c r="I59" s="17" t="s">
        <v>208</v>
      </c>
      <c r="L59">
        <v>300</v>
      </c>
      <c r="M59" s="11">
        <f>(N59+O59)/2</f>
        <v>0.72745614035087725</v>
      </c>
      <c r="N59" s="11">
        <f t="shared" ref="N59" si="60">(R59+X59)/(R59+S59+X59+Y59)</f>
        <v>0.96491228070175439</v>
      </c>
      <c r="O59" s="11">
        <f t="shared" ref="O59" si="61">(U59+AA59)/(U59+V59+AA59+AB59)</f>
        <v>0.49</v>
      </c>
      <c r="P59" s="11">
        <f t="shared" ref="P59" si="62">O59-N59</f>
        <v>-0.4749122807017544</v>
      </c>
      <c r="Q59" s="11">
        <f t="shared" ref="Q59" si="63">(R59+S59+U59+V59+X59+Y59+AA59+AB59)/(R59+S59+U59+V59+X59+Y59+AA59+AB59+W59+Z59+AC59+T59)</f>
        <v>0.52333333333333332</v>
      </c>
      <c r="R59">
        <v>38</v>
      </c>
      <c r="S59">
        <v>1</v>
      </c>
      <c r="T59">
        <v>41</v>
      </c>
      <c r="U59">
        <v>32</v>
      </c>
      <c r="V59">
        <v>36</v>
      </c>
      <c r="W59">
        <v>52</v>
      </c>
      <c r="X59">
        <v>17</v>
      </c>
      <c r="Y59">
        <v>1</v>
      </c>
      <c r="Z59">
        <v>22</v>
      </c>
      <c r="AA59">
        <v>17</v>
      </c>
      <c r="AB59">
        <v>15</v>
      </c>
      <c r="AC59">
        <v>28</v>
      </c>
      <c r="AD59">
        <v>190</v>
      </c>
      <c r="AE59">
        <v>174</v>
      </c>
      <c r="AF59">
        <v>6</v>
      </c>
    </row>
    <row r="60" spans="1:32">
      <c r="A60" s="3">
        <v>45667</v>
      </c>
      <c r="B60" s="4" t="s">
        <v>27</v>
      </c>
    </row>
    <row r="61" spans="1:32">
      <c r="A61" s="3">
        <v>45668</v>
      </c>
      <c r="B61" s="4" t="s">
        <v>28</v>
      </c>
    </row>
    <row r="62" spans="1:32">
      <c r="A62" s="3">
        <v>45669</v>
      </c>
      <c r="B62" s="4" t="s">
        <v>29</v>
      </c>
      <c r="C62">
        <v>21.5</v>
      </c>
      <c r="D62" s="7">
        <f t="shared" ref="D62:D71" si="64">C62/$C$2</f>
        <v>0.86345381526104426</v>
      </c>
      <c r="I62" s="17" t="s">
        <v>208</v>
      </c>
      <c r="J62" s="8">
        <v>0.24652777777777779</v>
      </c>
      <c r="L62">
        <v>300</v>
      </c>
      <c r="M62" s="11">
        <f>(N62+O62)/2</f>
        <v>0.86235294117647054</v>
      </c>
      <c r="N62" s="11">
        <f t="shared" ref="N62" si="65">(R62+X62)/(R62+S62+X62+Y62)</f>
        <v>0.96</v>
      </c>
      <c r="O62" s="11">
        <f t="shared" ref="O62" si="66">(U62+AA62)/(U62+V62+AA62+AB62)</f>
        <v>0.76470588235294112</v>
      </c>
      <c r="P62" s="11">
        <f t="shared" ref="P62" si="67">O62-N62</f>
        <v>-0.19529411764705884</v>
      </c>
      <c r="Q62" s="11">
        <f t="shared" ref="Q62" si="68">(R62+S62+U62+V62+X62+Y62+AA62+AB62)/(R62+S62+U62+V62+X62+Y62+AA62+AB62+W62+Z62+AC62+T62)</f>
        <v>0.45</v>
      </c>
      <c r="R62">
        <v>33</v>
      </c>
      <c r="S62">
        <v>1</v>
      </c>
      <c r="T62">
        <v>66</v>
      </c>
      <c r="U62">
        <v>41</v>
      </c>
      <c r="V62">
        <v>13</v>
      </c>
      <c r="W62">
        <v>46</v>
      </c>
      <c r="X62">
        <v>15</v>
      </c>
      <c r="Y62">
        <v>1</v>
      </c>
      <c r="Z62">
        <v>34</v>
      </c>
      <c r="AA62">
        <v>24</v>
      </c>
      <c r="AB62">
        <v>7</v>
      </c>
      <c r="AC62">
        <v>19</v>
      </c>
      <c r="AD62">
        <v>344</v>
      </c>
      <c r="AE62">
        <v>183</v>
      </c>
      <c r="AF62">
        <v>6</v>
      </c>
    </row>
    <row r="63" spans="1:32">
      <c r="A63" s="3">
        <v>45670</v>
      </c>
      <c r="B63" s="4" t="s">
        <v>19</v>
      </c>
      <c r="C63">
        <v>20.7</v>
      </c>
      <c r="D63" s="7">
        <f t="shared" si="64"/>
        <v>0.83132530120481929</v>
      </c>
      <c r="F63" s="10">
        <f t="shared" ref="F63" si="69">(R63+U63+X63+AA63)*AF63/1000</f>
        <v>0.97199999999999998</v>
      </c>
      <c r="G63" s="10">
        <f t="shared" ref="G63" si="70">E63+F63</f>
        <v>0.97199999999999998</v>
      </c>
      <c r="I63" s="17" t="s">
        <v>208</v>
      </c>
      <c r="J63" s="8">
        <v>0.22361111111111112</v>
      </c>
      <c r="L63">
        <v>300</v>
      </c>
      <c r="M63" s="11">
        <f>(N63+O63)/2</f>
        <v>0.84884868421052628</v>
      </c>
      <c r="N63" s="11">
        <f t="shared" ref="N63" si="71">(R63+X63)/(R63+S63+X63+Y63)</f>
        <v>0.97894736842105268</v>
      </c>
      <c r="O63" s="11">
        <f t="shared" ref="O63" si="72">(U63+AA63)/(U63+V63+AA63+AB63)</f>
        <v>0.71875</v>
      </c>
      <c r="P63" s="11">
        <f t="shared" ref="P63" si="73">O63-N63</f>
        <v>-0.26019736842105268</v>
      </c>
      <c r="Q63" s="11">
        <f t="shared" ref="Q63" si="74">(R63+S63+U63+V63+X63+Y63+AA63+AB63)/(R63+S63+U63+V63+X63+Y63+AA63+AB63+W63+Z63+AC63+T63)</f>
        <v>0.63666666666666671</v>
      </c>
      <c r="R63">
        <v>64</v>
      </c>
      <c r="S63">
        <v>2</v>
      </c>
      <c r="T63">
        <v>32</v>
      </c>
      <c r="U63">
        <v>46</v>
      </c>
      <c r="V63">
        <v>18</v>
      </c>
      <c r="W63">
        <v>38</v>
      </c>
      <c r="X63">
        <v>29</v>
      </c>
      <c r="Y63">
        <v>0</v>
      </c>
      <c r="Z63">
        <v>20</v>
      </c>
      <c r="AA63">
        <v>23</v>
      </c>
      <c r="AB63">
        <v>9</v>
      </c>
      <c r="AC63">
        <v>19</v>
      </c>
      <c r="AD63">
        <v>251</v>
      </c>
      <c r="AE63">
        <v>323</v>
      </c>
      <c r="AF63">
        <v>6</v>
      </c>
    </row>
    <row r="64" spans="1:32">
      <c r="A64" s="3">
        <v>45671</v>
      </c>
      <c r="B64" s="4" t="s">
        <v>22</v>
      </c>
      <c r="C64">
        <v>20.7</v>
      </c>
      <c r="D64" s="7">
        <f t="shared" si="64"/>
        <v>0.83132530120481929</v>
      </c>
      <c r="F64" s="10">
        <f t="shared" ref="F64" si="75">(R64+U64+X64+AA64)*AF64/1000</f>
        <v>1.08</v>
      </c>
      <c r="G64" s="10">
        <f t="shared" ref="G64" si="76">E64+F64</f>
        <v>1.08</v>
      </c>
      <c r="I64" s="17" t="s">
        <v>208</v>
      </c>
      <c r="J64" s="8">
        <v>0.16597222222222222</v>
      </c>
      <c r="K64" s="8">
        <v>0.19444444444444445</v>
      </c>
      <c r="L64">
        <v>300</v>
      </c>
      <c r="M64" s="11">
        <f>(N64+O64)/2</f>
        <v>0.84408602150537637</v>
      </c>
      <c r="N64" s="11">
        <f t="shared" ref="N64" si="77">(R64+X64)/(R64+S64+X64+Y64)</f>
        <v>0.68817204301075274</v>
      </c>
      <c r="O64" s="11">
        <f t="shared" ref="O64" si="78">(U64+AA64)/(U64+V64+AA64+AB64)</f>
        <v>1</v>
      </c>
      <c r="P64" s="11">
        <f t="shared" ref="P64" si="79">O64-N64</f>
        <v>0.31182795698924726</v>
      </c>
      <c r="Q64" s="11">
        <f t="shared" ref="Q64" si="80">(R64+S64+U64+V64+X64+Y64+AA64+AB64)/(R64+S64+U64+V64+X64+Y64+AA64+AB64+W64+Z64+AC64+T64)</f>
        <v>0.69666666666666666</v>
      </c>
      <c r="R64">
        <v>45</v>
      </c>
      <c r="S64">
        <v>20</v>
      </c>
      <c r="T64">
        <v>53</v>
      </c>
      <c r="U64">
        <v>76</v>
      </c>
      <c r="V64">
        <v>0</v>
      </c>
      <c r="W64">
        <v>6</v>
      </c>
      <c r="X64">
        <v>19</v>
      </c>
      <c r="Y64">
        <v>9</v>
      </c>
      <c r="Z64">
        <v>31</v>
      </c>
      <c r="AA64">
        <v>40</v>
      </c>
      <c r="AB64">
        <v>0</v>
      </c>
      <c r="AC64">
        <v>1</v>
      </c>
      <c r="AD64">
        <v>72</v>
      </c>
      <c r="AE64">
        <v>595</v>
      </c>
      <c r="AF64">
        <v>6</v>
      </c>
    </row>
    <row r="65" spans="1:32">
      <c r="A65" s="3">
        <v>45672</v>
      </c>
      <c r="B65" s="4" t="s">
        <v>24</v>
      </c>
      <c r="C65">
        <v>20.6</v>
      </c>
      <c r="D65" s="7">
        <f t="shared" si="64"/>
        <v>0.82730923694779124</v>
      </c>
      <c r="E65">
        <v>0.4</v>
      </c>
      <c r="F65" s="10">
        <f t="shared" ref="F65" si="81">(R65+U65+X65+AA65)*AF65/1000</f>
        <v>0.61199999999999999</v>
      </c>
      <c r="G65" s="10">
        <f t="shared" ref="G65" si="82">E65+F65</f>
        <v>1.012</v>
      </c>
      <c r="I65" s="17" t="s">
        <v>202</v>
      </c>
      <c r="J65" s="8">
        <v>0.21458333333333332</v>
      </c>
      <c r="K65" s="8">
        <v>0.24444444444444444</v>
      </c>
      <c r="L65">
        <v>300</v>
      </c>
      <c r="M65" s="11">
        <f>(N65+O65)/2</f>
        <v>0.55010075105330647</v>
      </c>
      <c r="N65" s="11">
        <f t="shared" ref="N65" si="83">(R65+X65)/(R65+S65+X65+Y65)</f>
        <v>0.87378640776699024</v>
      </c>
      <c r="O65" s="11">
        <f t="shared" ref="O65" si="84">(U65+AA65)/(U65+V65+AA65+AB65)</f>
        <v>0.22641509433962265</v>
      </c>
      <c r="P65" s="11">
        <f t="shared" ref="P65" si="85">O65-N65</f>
        <v>-0.64737131342736753</v>
      </c>
      <c r="Q65" s="11">
        <f t="shared" ref="Q65" si="86">(R65+S65+U65+V65+X65+Y65+AA65+AB65)/(R65+S65+U65+V65+X65+Y65+AA65+AB65+W65+Z65+AC65+T65)</f>
        <v>0.52</v>
      </c>
      <c r="R65">
        <v>90</v>
      </c>
      <c r="S65">
        <v>13</v>
      </c>
      <c r="T65">
        <v>77</v>
      </c>
      <c r="U65">
        <v>7</v>
      </c>
      <c r="V65">
        <v>29</v>
      </c>
      <c r="W65">
        <v>37</v>
      </c>
      <c r="X65">
        <v>0</v>
      </c>
      <c r="Y65">
        <v>0</v>
      </c>
      <c r="Z65">
        <v>0</v>
      </c>
      <c r="AA65">
        <v>5</v>
      </c>
      <c r="AB65">
        <v>12</v>
      </c>
      <c r="AC65">
        <v>30</v>
      </c>
      <c r="AD65">
        <v>1390</v>
      </c>
      <c r="AE65">
        <v>402</v>
      </c>
      <c r="AF65">
        <v>6</v>
      </c>
    </row>
    <row r="66" spans="1:32">
      <c r="A66" s="3">
        <v>45673</v>
      </c>
      <c r="B66" s="4" t="s">
        <v>26</v>
      </c>
      <c r="C66">
        <v>20.8</v>
      </c>
      <c r="D66" s="7">
        <f t="shared" si="64"/>
        <v>0.83534136546184745</v>
      </c>
      <c r="F66" s="10">
        <f t="shared" ref="F66" si="87">(R66+U66+X66+AA66)*AF66/1000</f>
        <v>1.0680000000000001</v>
      </c>
      <c r="G66" s="10">
        <f t="shared" ref="G66" si="88">E66+F66</f>
        <v>1.0680000000000001</v>
      </c>
      <c r="I66" s="17" t="s">
        <v>202</v>
      </c>
      <c r="J66" s="8">
        <v>0.16319444444444445</v>
      </c>
      <c r="K66" s="8">
        <v>0.18958333333333333</v>
      </c>
      <c r="L66">
        <v>300</v>
      </c>
      <c r="M66" s="11">
        <f>(N66+O66)/2</f>
        <v>0.85694444444444451</v>
      </c>
      <c r="N66" s="11">
        <f t="shared" ref="N66" si="89">(R66+X66)/(R66+S66+X66+Y66)</f>
        <v>0.92222222222222228</v>
      </c>
      <c r="O66" s="11">
        <f t="shared" ref="O66" si="90">(U66+AA66)/(U66+V66+AA66+AB66)</f>
        <v>0.79166666666666663</v>
      </c>
      <c r="P66" s="11">
        <f t="shared" ref="P66" si="91">O66-N66</f>
        <v>-0.13055555555555565</v>
      </c>
      <c r="Q66" s="11">
        <f t="shared" ref="Q66" si="92">(R66+S66+U66+V66+X66+Y66+AA66+AB66)/(R66+S66+U66+V66+X66+Y66+AA66+AB66+W66+Z66+AC66+T66)</f>
        <v>0.7</v>
      </c>
      <c r="R66">
        <v>64</v>
      </c>
      <c r="S66">
        <v>7</v>
      </c>
      <c r="T66">
        <v>49</v>
      </c>
      <c r="U66">
        <v>90</v>
      </c>
      <c r="V66">
        <v>21</v>
      </c>
      <c r="W66">
        <v>32</v>
      </c>
      <c r="X66">
        <v>19</v>
      </c>
      <c r="Y66">
        <v>0</v>
      </c>
      <c r="Z66">
        <v>5</v>
      </c>
      <c r="AA66">
        <v>5</v>
      </c>
      <c r="AB66">
        <v>4</v>
      </c>
      <c r="AC66">
        <v>4</v>
      </c>
      <c r="AD66">
        <v>203</v>
      </c>
      <c r="AE66">
        <v>429</v>
      </c>
      <c r="AF66">
        <v>6</v>
      </c>
    </row>
    <row r="67" spans="1:32">
      <c r="A67" s="3">
        <v>45674</v>
      </c>
      <c r="B67" s="4" t="s">
        <v>27</v>
      </c>
      <c r="C67">
        <v>20.6</v>
      </c>
      <c r="D67" s="7">
        <f t="shared" si="64"/>
        <v>0.82730923694779124</v>
      </c>
      <c r="F67" s="10">
        <f t="shared" ref="F67" si="93">(R67+U67+X67+AA67)*AF67/1000</f>
        <v>1.1459999999999999</v>
      </c>
      <c r="G67" s="10">
        <f t="shared" ref="G67" si="94">E67+F67</f>
        <v>1.1459999999999999</v>
      </c>
      <c r="I67" s="17" t="s">
        <v>202</v>
      </c>
      <c r="J67" s="8">
        <v>0.21458333333333332</v>
      </c>
      <c r="K67" s="8">
        <v>0.24166666666666667</v>
      </c>
      <c r="L67">
        <v>300</v>
      </c>
      <c r="M67" s="11">
        <f>(N67+O67)/2</f>
        <v>0.88508462926368248</v>
      </c>
      <c r="N67" s="11">
        <f t="shared" ref="N67" si="95">(R67+X67)/(R67+S67+X67+Y67)</f>
        <v>0.90291262135922334</v>
      </c>
      <c r="O67" s="11">
        <f t="shared" ref="O67" si="96">(U67+AA67)/(U67+V67+AA67+AB67)</f>
        <v>0.86725663716814161</v>
      </c>
      <c r="P67" s="11">
        <f t="shared" ref="P67" si="97">O67-N67</f>
        <v>-3.5655984191081735E-2</v>
      </c>
      <c r="Q67" s="11">
        <f t="shared" ref="Q67" si="98">(R67+S67+U67+V67+X67+Y67+AA67+AB67)/(R67+S67+U67+V67+X67+Y67+AA67+AB67+W67+Z67+AC67+T67)</f>
        <v>0.72</v>
      </c>
      <c r="R67">
        <v>83</v>
      </c>
      <c r="S67">
        <v>9</v>
      </c>
      <c r="T67">
        <v>58</v>
      </c>
      <c r="U67">
        <v>98</v>
      </c>
      <c r="V67">
        <v>15</v>
      </c>
      <c r="W67">
        <v>23</v>
      </c>
      <c r="X67">
        <v>10</v>
      </c>
      <c r="Y67">
        <v>1</v>
      </c>
      <c r="Z67">
        <v>3</v>
      </c>
      <c r="AA67">
        <v>0</v>
      </c>
      <c r="AB67">
        <v>0</v>
      </c>
      <c r="AC67">
        <v>0</v>
      </c>
      <c r="AD67">
        <v>228</v>
      </c>
      <c r="AE67">
        <v>1095</v>
      </c>
      <c r="AF67">
        <v>6</v>
      </c>
    </row>
    <row r="68" spans="1:32">
      <c r="A68" s="3">
        <v>45675</v>
      </c>
      <c r="B68" s="4" t="s">
        <v>28</v>
      </c>
      <c r="C68">
        <v>20.2</v>
      </c>
      <c r="D68" s="7">
        <f t="shared" si="64"/>
        <v>0.8112449799196787</v>
      </c>
      <c r="E68">
        <v>1.2</v>
      </c>
    </row>
    <row r="69" spans="1:32">
      <c r="A69" s="3">
        <v>45676</v>
      </c>
      <c r="B69" s="4" t="s">
        <v>29</v>
      </c>
    </row>
    <row r="70" spans="1:32">
      <c r="A70" s="3">
        <v>45677</v>
      </c>
      <c r="B70" s="4" t="s">
        <v>19</v>
      </c>
      <c r="C70">
        <v>20.7</v>
      </c>
      <c r="D70" s="7">
        <f t="shared" si="64"/>
        <v>0.83132530120481929</v>
      </c>
      <c r="I70" s="17" t="s">
        <v>202</v>
      </c>
      <c r="J70" s="8">
        <v>0.42708333333333331</v>
      </c>
      <c r="L70">
        <v>300</v>
      </c>
      <c r="M70" s="11">
        <f>(N70+O70)/2</f>
        <v>0.90107466063348418</v>
      </c>
      <c r="N70" s="11">
        <f t="shared" ref="N70" si="99">(R70+X70)/(R70+S70+X70+Y70)</f>
        <v>0.81176470588235294</v>
      </c>
      <c r="O70" s="11">
        <f t="shared" ref="O70" si="100">(U70+AA70)/(U70+V70+AA70+AB70)</f>
        <v>0.99038461538461542</v>
      </c>
      <c r="P70" s="11">
        <f t="shared" ref="P70" si="101">O70-N70</f>
        <v>0.17861990950226247</v>
      </c>
      <c r="Q70" s="11">
        <f t="shared" ref="Q70" si="102">(R70+S70+U70+V70+X70+Y70+AA70+AB70)/(R70+S70+U70+V70+X70+Y70+AA70+AB70+W70+Z70+AC70+T70)</f>
        <v>0.63</v>
      </c>
      <c r="R70">
        <v>51</v>
      </c>
      <c r="S70">
        <v>11</v>
      </c>
      <c r="T70">
        <v>62</v>
      </c>
      <c r="U70">
        <v>102</v>
      </c>
      <c r="V70">
        <v>1</v>
      </c>
      <c r="W70">
        <v>4</v>
      </c>
      <c r="X70">
        <v>18</v>
      </c>
      <c r="Y70">
        <v>5</v>
      </c>
      <c r="Z70">
        <v>45</v>
      </c>
      <c r="AA70">
        <v>1</v>
      </c>
      <c r="AB70">
        <v>0</v>
      </c>
      <c r="AC70">
        <v>0</v>
      </c>
      <c r="AD70">
        <v>134</v>
      </c>
      <c r="AE70">
        <v>511</v>
      </c>
      <c r="AF70">
        <v>6</v>
      </c>
    </row>
    <row r="71" spans="1:32">
      <c r="A71" s="3">
        <v>45678</v>
      </c>
      <c r="B71" s="4" t="s">
        <v>22</v>
      </c>
      <c r="C71">
        <v>21.3</v>
      </c>
      <c r="D71" s="7">
        <f t="shared" si="64"/>
        <v>0.85542168674698804</v>
      </c>
      <c r="I71" s="17" t="s">
        <v>209</v>
      </c>
      <c r="J71" s="8">
        <v>5.2083333333333336E-2</v>
      </c>
      <c r="L71">
        <v>300</v>
      </c>
      <c r="M71" s="11">
        <f>(N71+O71)/2</f>
        <v>0.4548611111111111</v>
      </c>
      <c r="N71" s="11">
        <f t="shared" ref="N71" si="103">(R71+X71)/(R71+S71+X71+Y71)</f>
        <v>0.1875</v>
      </c>
      <c r="O71" s="11">
        <f t="shared" ref="O71" si="104">(U71+AA71)/(U71+V71+AA71+AB71)</f>
        <v>0.72222222222222221</v>
      </c>
      <c r="P71" s="11">
        <f t="shared" ref="P71" si="105">O71-N71</f>
        <v>0.53472222222222221</v>
      </c>
      <c r="Q71" s="11">
        <f t="shared" ref="Q71" si="106">(R71+S71+U71+V71+X71+Y71+AA71+AB71)/(R71+S71+U71+V71+X71+Y71+AA71+AB71+W71+Z71+AC71+T71)</f>
        <v>0.12592592592592591</v>
      </c>
      <c r="R71">
        <v>1</v>
      </c>
      <c r="S71">
        <v>9</v>
      </c>
      <c r="T71">
        <v>80</v>
      </c>
      <c r="U71">
        <v>10</v>
      </c>
      <c r="V71">
        <v>3</v>
      </c>
      <c r="W71">
        <v>77</v>
      </c>
      <c r="X71">
        <v>2</v>
      </c>
      <c r="Y71">
        <v>4</v>
      </c>
      <c r="Z71">
        <v>39</v>
      </c>
      <c r="AA71">
        <v>3</v>
      </c>
      <c r="AB71">
        <v>2</v>
      </c>
      <c r="AC71">
        <v>40</v>
      </c>
      <c r="AD71">
        <v>23</v>
      </c>
      <c r="AE71">
        <v>84</v>
      </c>
      <c r="AF71">
        <v>6</v>
      </c>
    </row>
    <row r="72" spans="1:32">
      <c r="A72" s="3">
        <v>45679</v>
      </c>
      <c r="B72" s="4" t="s">
        <v>24</v>
      </c>
      <c r="I72" t="s">
        <v>210</v>
      </c>
    </row>
    <row r="73" spans="1:32">
      <c r="A73" s="3">
        <v>45680</v>
      </c>
      <c r="B73" s="4" t="s">
        <v>26</v>
      </c>
    </row>
    <row r="74" spans="1:32">
      <c r="A74" s="3">
        <v>45681</v>
      </c>
      <c r="B74" s="4" t="s">
        <v>27</v>
      </c>
    </row>
    <row r="75" spans="1:32">
      <c r="A75" s="3">
        <v>45682</v>
      </c>
      <c r="B75" s="4" t="s">
        <v>28</v>
      </c>
    </row>
    <row r="76" spans="1:32">
      <c r="A76" s="3">
        <v>45683</v>
      </c>
      <c r="B76" s="4" t="s">
        <v>29</v>
      </c>
    </row>
    <row r="77" spans="1:32">
      <c r="A77" s="3">
        <v>45684</v>
      </c>
      <c r="B77" s="4" t="s">
        <v>19</v>
      </c>
    </row>
    <row r="78" spans="1:32">
      <c r="A78" s="3">
        <v>45685</v>
      </c>
      <c r="B78" s="4" t="s">
        <v>22</v>
      </c>
    </row>
    <row r="79" spans="1:32">
      <c r="A79" s="3">
        <v>45686</v>
      </c>
      <c r="B79" s="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BADF-9E62-4A64-83CA-F90EC1FBF540}">
  <dimension ref="A1:AG105"/>
  <sheetViews>
    <sheetView topLeftCell="A33" workbookViewId="0">
      <selection activeCell="E49" sqref="E49"/>
    </sheetView>
  </sheetViews>
  <sheetFormatPr defaultRowHeight="15"/>
  <cols>
    <col min="1" max="1" width="11.140625" bestFit="1" customWidth="1"/>
    <col min="9" max="9" width="27.5703125" customWidth="1"/>
    <col min="11" max="11" width="9.28515625" bestFit="1" customWidth="1"/>
    <col min="17" max="17" width="11.85546875" customWidth="1"/>
  </cols>
  <sheetData>
    <row r="1" spans="1:18" ht="29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80</v>
      </c>
    </row>
    <row r="2" spans="1:18">
      <c r="A2" s="3">
        <v>45611</v>
      </c>
      <c r="B2" s="4" t="s">
        <v>27</v>
      </c>
      <c r="C2">
        <v>26</v>
      </c>
      <c r="D2" s="7">
        <f>C2/$C$2</f>
        <v>1</v>
      </c>
      <c r="G2">
        <f>E2+F2</f>
        <v>0</v>
      </c>
      <c r="I2" t="s">
        <v>25</v>
      </c>
      <c r="R2" t="s">
        <v>211</v>
      </c>
    </row>
    <row r="3" spans="1:18">
      <c r="A3" s="3">
        <v>45612</v>
      </c>
      <c r="B3" s="4" t="s">
        <v>28</v>
      </c>
      <c r="C3">
        <v>24.1</v>
      </c>
      <c r="D3" s="7">
        <f t="shared" ref="D3:E23" si="0">C3/$C$2</f>
        <v>0.92692307692307696</v>
      </c>
    </row>
    <row r="4" spans="1:18">
      <c r="A4" s="3">
        <v>45613</v>
      </c>
      <c r="B4" s="4" t="s">
        <v>29</v>
      </c>
      <c r="C4">
        <v>26.2</v>
      </c>
      <c r="D4" s="7">
        <f t="shared" si="0"/>
        <v>1.0076923076923077</v>
      </c>
      <c r="E4" t="s">
        <v>183</v>
      </c>
    </row>
    <row r="5" spans="1:18">
      <c r="A5" s="3">
        <v>45614</v>
      </c>
      <c r="B5" s="4" t="s">
        <v>19</v>
      </c>
      <c r="C5">
        <v>23.5</v>
      </c>
      <c r="D5" s="7">
        <f t="shared" si="0"/>
        <v>0.90384615384615385</v>
      </c>
      <c r="G5">
        <v>1</v>
      </c>
      <c r="I5" t="s">
        <v>25</v>
      </c>
    </row>
    <row r="6" spans="1:18">
      <c r="A6" s="3">
        <v>45615</v>
      </c>
      <c r="B6" s="4" t="s">
        <v>22</v>
      </c>
      <c r="D6" s="7">
        <f t="shared" si="0"/>
        <v>0</v>
      </c>
      <c r="E6" t="s">
        <v>184</v>
      </c>
    </row>
    <row r="7" spans="1:18">
      <c r="A7" s="3">
        <v>45616</v>
      </c>
      <c r="B7" s="4" t="s">
        <v>24</v>
      </c>
      <c r="C7">
        <v>20.9</v>
      </c>
      <c r="D7" s="7">
        <f t="shared" si="0"/>
        <v>0.80384615384615377</v>
      </c>
      <c r="E7" t="s">
        <v>184</v>
      </c>
    </row>
    <row r="8" spans="1:18">
      <c r="A8" s="3">
        <v>45617</v>
      </c>
      <c r="B8" s="4" t="s">
        <v>26</v>
      </c>
      <c r="C8">
        <v>18.8</v>
      </c>
      <c r="D8" s="7">
        <f t="shared" si="0"/>
        <v>0.72307692307692306</v>
      </c>
    </row>
    <row r="9" spans="1:18">
      <c r="A9" s="3">
        <v>45618</v>
      </c>
      <c r="B9" s="4" t="s">
        <v>27</v>
      </c>
      <c r="C9">
        <v>18</v>
      </c>
      <c r="D9" s="7">
        <f t="shared" si="0"/>
        <v>0.69230769230769229</v>
      </c>
      <c r="E9" t="s">
        <v>185</v>
      </c>
    </row>
    <row r="10" spans="1:18">
      <c r="A10" s="3">
        <v>45619</v>
      </c>
      <c r="B10" s="4" t="s">
        <v>28</v>
      </c>
      <c r="C10">
        <v>23.1</v>
      </c>
      <c r="D10" s="7">
        <f t="shared" si="0"/>
        <v>0.88846153846153852</v>
      </c>
    </row>
    <row r="11" spans="1:18">
      <c r="A11" s="3">
        <v>45620</v>
      </c>
      <c r="B11" s="4" t="s">
        <v>29</v>
      </c>
      <c r="C11">
        <v>20.5</v>
      </c>
      <c r="D11" s="7">
        <f t="shared" si="0"/>
        <v>0.78846153846153844</v>
      </c>
      <c r="I11" t="s">
        <v>186</v>
      </c>
    </row>
    <row r="12" spans="1:18">
      <c r="A12" s="3">
        <v>45621</v>
      </c>
      <c r="B12" s="4" t="s">
        <v>19</v>
      </c>
      <c r="C12">
        <v>20.6</v>
      </c>
      <c r="D12" s="7">
        <f t="shared" si="0"/>
        <v>0.79230769230769238</v>
      </c>
      <c r="I12" t="s">
        <v>212</v>
      </c>
    </row>
    <row r="13" spans="1:18">
      <c r="A13" s="3">
        <v>45622</v>
      </c>
      <c r="B13" s="4" t="s">
        <v>22</v>
      </c>
      <c r="C13">
        <v>20.3</v>
      </c>
      <c r="D13" s="7">
        <f t="shared" si="0"/>
        <v>0.78076923076923077</v>
      </c>
      <c r="I13" t="s">
        <v>213</v>
      </c>
      <c r="J13" s="8">
        <v>0.2361111111111111</v>
      </c>
      <c r="K13" s="8">
        <v>0.25</v>
      </c>
      <c r="L13">
        <v>96</v>
      </c>
      <c r="M13">
        <v>471</v>
      </c>
    </row>
    <row r="14" spans="1:18">
      <c r="A14" s="3">
        <v>45623</v>
      </c>
      <c r="B14" s="4" t="s">
        <v>24</v>
      </c>
      <c r="C14">
        <v>20.9</v>
      </c>
      <c r="D14" s="7">
        <f t="shared" si="0"/>
        <v>0.80384615384615377</v>
      </c>
      <c r="I14" t="s">
        <v>213</v>
      </c>
      <c r="J14" s="8">
        <v>0.18055555555555555</v>
      </c>
      <c r="K14" s="8">
        <v>0.19097222222222221</v>
      </c>
      <c r="L14">
        <v>107</v>
      </c>
      <c r="M14">
        <v>640</v>
      </c>
    </row>
    <row r="15" spans="1:18">
      <c r="A15" s="3">
        <v>45624</v>
      </c>
      <c r="B15" s="4" t="s">
        <v>26</v>
      </c>
      <c r="D15" s="7"/>
    </row>
    <row r="16" spans="1:18">
      <c r="A16" s="3">
        <v>45625</v>
      </c>
      <c r="B16" s="4" t="s">
        <v>27</v>
      </c>
      <c r="D16" s="7"/>
    </row>
    <row r="17" spans="1:18">
      <c r="A17" s="3">
        <v>45626</v>
      </c>
      <c r="B17" s="4" t="s">
        <v>28</v>
      </c>
      <c r="C17">
        <v>19.3</v>
      </c>
      <c r="D17" s="7">
        <f t="shared" si="0"/>
        <v>0.74230769230769234</v>
      </c>
      <c r="I17" t="s">
        <v>213</v>
      </c>
      <c r="J17" s="8">
        <v>0.3888888888888889</v>
      </c>
      <c r="K17" s="8">
        <v>0.40625</v>
      </c>
      <c r="L17">
        <v>162</v>
      </c>
      <c r="M17">
        <v>1134</v>
      </c>
    </row>
    <row r="18" spans="1:18">
      <c r="A18" s="3">
        <v>45627</v>
      </c>
      <c r="B18" s="4" t="s">
        <v>29</v>
      </c>
      <c r="C18">
        <v>19.5</v>
      </c>
      <c r="D18" s="7">
        <f t="shared" si="0"/>
        <v>0.75</v>
      </c>
      <c r="I18" t="s">
        <v>213</v>
      </c>
      <c r="J18" s="8">
        <v>0.42708333333333331</v>
      </c>
      <c r="L18">
        <v>181</v>
      </c>
      <c r="M18">
        <v>1833</v>
      </c>
    </row>
    <row r="19" spans="1:18">
      <c r="A19" s="3">
        <v>45628</v>
      </c>
      <c r="B19" s="4" t="s">
        <v>19</v>
      </c>
      <c r="C19">
        <v>19.8</v>
      </c>
      <c r="D19" s="7">
        <f t="shared" si="0"/>
        <v>0.76153846153846161</v>
      </c>
      <c r="I19" t="s">
        <v>189</v>
      </c>
      <c r="J19" s="8">
        <v>0.31944444444444442</v>
      </c>
      <c r="K19" s="8">
        <v>0.33680555555555558</v>
      </c>
      <c r="L19">
        <v>168</v>
      </c>
      <c r="M19">
        <v>2975</v>
      </c>
    </row>
    <row r="20" spans="1:18">
      <c r="A20" s="3">
        <v>45629</v>
      </c>
      <c r="B20" s="4" t="s">
        <v>22</v>
      </c>
      <c r="C20">
        <v>20.100000000000001</v>
      </c>
      <c r="D20" s="7">
        <f t="shared" si="0"/>
        <v>0.77307692307692311</v>
      </c>
      <c r="I20" t="s">
        <v>190</v>
      </c>
      <c r="J20" s="8">
        <v>0.19097222222222221</v>
      </c>
      <c r="K20" s="8">
        <v>0.21875</v>
      </c>
      <c r="L20">
        <v>166</v>
      </c>
      <c r="M20">
        <v>2655</v>
      </c>
      <c r="N20" t="s">
        <v>188</v>
      </c>
    </row>
    <row r="21" spans="1:18">
      <c r="A21" s="3">
        <v>45630</v>
      </c>
      <c r="B21" s="4" t="s">
        <v>24</v>
      </c>
      <c r="C21">
        <v>19.899999999999999</v>
      </c>
      <c r="D21" s="7">
        <f t="shared" si="0"/>
        <v>0.76538461538461533</v>
      </c>
      <c r="I21" t="s">
        <v>190</v>
      </c>
      <c r="J21" s="8">
        <v>0.17222222222222222</v>
      </c>
      <c r="K21" s="8">
        <v>0.20833333333333334</v>
      </c>
      <c r="L21">
        <v>215</v>
      </c>
      <c r="M21">
        <v>2272</v>
      </c>
      <c r="N21" t="s">
        <v>188</v>
      </c>
    </row>
    <row r="22" spans="1:18">
      <c r="A22" s="3">
        <v>45631</v>
      </c>
      <c r="B22" s="4" t="s">
        <v>26</v>
      </c>
      <c r="C22">
        <v>20.5</v>
      </c>
      <c r="D22" s="7">
        <f t="shared" si="0"/>
        <v>0.78846153846153844</v>
      </c>
      <c r="I22" t="s">
        <v>113</v>
      </c>
    </row>
    <row r="23" spans="1:18">
      <c r="A23" s="3">
        <v>45632</v>
      </c>
      <c r="B23" s="4" t="s">
        <v>27</v>
      </c>
      <c r="C23">
        <v>21.1</v>
      </c>
      <c r="D23" s="7">
        <f t="shared" si="0"/>
        <v>0.81153846153846154</v>
      </c>
      <c r="I23" t="s">
        <v>190</v>
      </c>
      <c r="J23" s="8">
        <v>0.2326388888888889</v>
      </c>
      <c r="L23">
        <v>279</v>
      </c>
      <c r="M23">
        <v>4626</v>
      </c>
    </row>
    <row r="24" spans="1:18">
      <c r="A24" s="3">
        <v>45633</v>
      </c>
      <c r="B24" s="4" t="s">
        <v>28</v>
      </c>
      <c r="C24">
        <v>20.6</v>
      </c>
      <c r="D24" s="7">
        <f t="shared" ref="D24:D28" si="1">C24/$C$2</f>
        <v>0.79230769230769238</v>
      </c>
      <c r="I24" t="s">
        <v>190</v>
      </c>
      <c r="L24">
        <v>370</v>
      </c>
      <c r="M24">
        <v>4975</v>
      </c>
    </row>
    <row r="25" spans="1:18">
      <c r="A25" s="3">
        <v>45634</v>
      </c>
      <c r="B25" s="4" t="s">
        <v>29</v>
      </c>
      <c r="C25">
        <v>20.399999999999999</v>
      </c>
      <c r="D25" s="7">
        <f t="shared" si="1"/>
        <v>0.7846153846153846</v>
      </c>
      <c r="E25">
        <v>1.5</v>
      </c>
      <c r="I25" t="s">
        <v>214</v>
      </c>
    </row>
    <row r="26" spans="1:18">
      <c r="A26" s="3">
        <v>45635</v>
      </c>
      <c r="B26" s="4" t="s">
        <v>19</v>
      </c>
      <c r="C26">
        <v>20.2</v>
      </c>
      <c r="D26" s="7">
        <f t="shared" si="1"/>
        <v>0.77692307692307694</v>
      </c>
      <c r="I26" t="s">
        <v>215</v>
      </c>
      <c r="J26" s="8">
        <v>0.31944444444444442</v>
      </c>
      <c r="K26" s="8">
        <v>0.33680555555555558</v>
      </c>
      <c r="L26">
        <v>4</v>
      </c>
      <c r="M26">
        <v>398</v>
      </c>
      <c r="N26">
        <v>2</v>
      </c>
      <c r="O26">
        <v>17</v>
      </c>
      <c r="P26">
        <v>2</v>
      </c>
      <c r="Q26">
        <v>2</v>
      </c>
      <c r="R26" t="s">
        <v>216</v>
      </c>
    </row>
    <row r="27" spans="1:18">
      <c r="A27" s="3">
        <v>45636</v>
      </c>
      <c r="B27" s="4" t="s">
        <v>22</v>
      </c>
      <c r="C27">
        <v>21.1</v>
      </c>
      <c r="D27" s="7">
        <f t="shared" si="1"/>
        <v>0.81153846153846154</v>
      </c>
      <c r="I27" t="s">
        <v>217</v>
      </c>
    </row>
    <row r="28" spans="1:18">
      <c r="A28" s="3">
        <v>45637</v>
      </c>
      <c r="B28" s="4" t="s">
        <v>24</v>
      </c>
      <c r="C28">
        <v>21</v>
      </c>
      <c r="D28" s="7">
        <f>C28/$C$2</f>
        <v>0.80769230769230771</v>
      </c>
      <c r="I28" t="s">
        <v>190</v>
      </c>
      <c r="J28" s="8">
        <v>0.2013888888888889</v>
      </c>
      <c r="K28" s="8">
        <v>0.22569444444444445</v>
      </c>
      <c r="L28">
        <v>176</v>
      </c>
      <c r="M28">
        <v>3201</v>
      </c>
    </row>
    <row r="29" spans="1:18">
      <c r="A29" s="3">
        <v>45638</v>
      </c>
      <c r="B29" s="4" t="s">
        <v>26</v>
      </c>
      <c r="C29">
        <v>21.3</v>
      </c>
      <c r="D29" s="7">
        <f>C29/$C$2</f>
        <v>0.81923076923076921</v>
      </c>
      <c r="I29" t="s">
        <v>190</v>
      </c>
      <c r="J29" s="8">
        <v>0.10069444444444445</v>
      </c>
      <c r="L29">
        <v>219</v>
      </c>
      <c r="M29">
        <v>3649</v>
      </c>
      <c r="R29">
        <v>4</v>
      </c>
    </row>
    <row r="30" spans="1:18">
      <c r="A30" s="3">
        <v>45639</v>
      </c>
      <c r="B30" s="4" t="s">
        <v>27</v>
      </c>
      <c r="C30">
        <v>21.1</v>
      </c>
      <c r="D30" s="7">
        <f>C30/$C$2</f>
        <v>0.81153846153846154</v>
      </c>
      <c r="F30">
        <f>L30*R30/1000</f>
        <v>0.59599999999999997</v>
      </c>
      <c r="G30" s="10"/>
      <c r="I30" t="s">
        <v>104</v>
      </c>
      <c r="J30" s="8">
        <v>0.1076388888888889</v>
      </c>
      <c r="K30" s="8">
        <v>0.13750000000000001</v>
      </c>
      <c r="L30">
        <f>P30+Q30</f>
        <v>149</v>
      </c>
      <c r="M30">
        <v>3650</v>
      </c>
      <c r="N30">
        <v>86</v>
      </c>
      <c r="O30">
        <v>162</v>
      </c>
      <c r="P30">
        <v>77</v>
      </c>
      <c r="Q30">
        <v>72</v>
      </c>
      <c r="R30">
        <v>4</v>
      </c>
    </row>
    <row r="31" spans="1:18">
      <c r="A31" s="3">
        <v>45640</v>
      </c>
      <c r="B31" s="4" t="s">
        <v>28</v>
      </c>
      <c r="C31">
        <v>20.8</v>
      </c>
      <c r="D31" s="7">
        <f>C31/$C$2</f>
        <v>0.8</v>
      </c>
      <c r="E31">
        <v>0.8</v>
      </c>
      <c r="I31" t="s">
        <v>113</v>
      </c>
    </row>
    <row r="32" spans="1:18">
      <c r="A32" s="3">
        <v>45641</v>
      </c>
      <c r="B32" s="4" t="s">
        <v>29</v>
      </c>
      <c r="C32">
        <v>20.5</v>
      </c>
      <c r="D32" s="7">
        <f>C32/$C$2</f>
        <v>0.78846153846153844</v>
      </c>
      <c r="E32">
        <v>1.2</v>
      </c>
      <c r="I32" t="s">
        <v>113</v>
      </c>
    </row>
    <row r="33" spans="1:33">
      <c r="A33" s="3">
        <v>45642</v>
      </c>
      <c r="B33" s="4" t="s">
        <v>19</v>
      </c>
      <c r="C33">
        <v>20.8</v>
      </c>
      <c r="D33" s="7">
        <f t="shared" ref="D33:D35" si="2">C33/$C$2</f>
        <v>0.8</v>
      </c>
      <c r="I33" t="s">
        <v>104</v>
      </c>
      <c r="J33" s="8">
        <v>0.25</v>
      </c>
      <c r="K33" s="8">
        <v>0.28472222222222221</v>
      </c>
      <c r="L33">
        <v>275</v>
      </c>
      <c r="M33">
        <v>4985</v>
      </c>
      <c r="N33">
        <v>205</v>
      </c>
      <c r="O33">
        <v>182</v>
      </c>
      <c r="P33">
        <v>135</v>
      </c>
      <c r="Q33">
        <v>140</v>
      </c>
      <c r="R33">
        <v>4</v>
      </c>
    </row>
    <row r="34" spans="1:33">
      <c r="A34" s="3">
        <v>45643</v>
      </c>
      <c r="B34" s="4" t="s">
        <v>22</v>
      </c>
      <c r="C34">
        <v>20.3</v>
      </c>
      <c r="D34" s="7">
        <f t="shared" si="2"/>
        <v>0.78076923076923077</v>
      </c>
      <c r="E34">
        <v>0.5</v>
      </c>
      <c r="F34">
        <f>L34*R34/1000</f>
        <v>0.61599999999999999</v>
      </c>
      <c r="G34">
        <f>E34+F34</f>
        <v>1.1160000000000001</v>
      </c>
      <c r="I34" t="s">
        <v>218</v>
      </c>
      <c r="J34" s="8">
        <v>0.30208333333333331</v>
      </c>
      <c r="K34" s="8">
        <v>0.33333333333333331</v>
      </c>
      <c r="L34">
        <v>154</v>
      </c>
      <c r="M34">
        <v>3289</v>
      </c>
      <c r="N34">
        <v>202</v>
      </c>
      <c r="O34">
        <v>118</v>
      </c>
      <c r="P34">
        <v>78</v>
      </c>
      <c r="Q34">
        <v>76</v>
      </c>
      <c r="R34">
        <v>4</v>
      </c>
    </row>
    <row r="35" spans="1:33">
      <c r="A35" s="3">
        <v>45644</v>
      </c>
      <c r="B35" s="4" t="s">
        <v>24</v>
      </c>
      <c r="C35">
        <v>20.100000000000001</v>
      </c>
      <c r="D35" s="7">
        <f t="shared" si="2"/>
        <v>0.77307692307692311</v>
      </c>
      <c r="F35">
        <f t="shared" ref="F35:F36" si="3">L35*R35/1000</f>
        <v>0.85199999999999998</v>
      </c>
      <c r="I35" t="s">
        <v>218</v>
      </c>
      <c r="J35" s="8">
        <v>0.2638888888888889</v>
      </c>
      <c r="K35" s="8">
        <v>0.29166666666666669</v>
      </c>
      <c r="L35">
        <v>213</v>
      </c>
      <c r="M35">
        <v>3549</v>
      </c>
      <c r="N35">
        <v>140</v>
      </c>
      <c r="O35">
        <v>196</v>
      </c>
      <c r="P35">
        <v>108</v>
      </c>
      <c r="Q35">
        <v>105</v>
      </c>
      <c r="R35">
        <v>4</v>
      </c>
    </row>
    <row r="36" spans="1:33">
      <c r="A36" s="3">
        <v>45645</v>
      </c>
      <c r="B36" s="4" t="s">
        <v>26</v>
      </c>
      <c r="C36">
        <v>20.5</v>
      </c>
      <c r="D36" s="7">
        <f t="shared" ref="D36:D39" si="4">C36/$C$2</f>
        <v>0.78846153846153844</v>
      </c>
      <c r="F36">
        <f t="shared" si="3"/>
        <v>0.80800000000000005</v>
      </c>
      <c r="I36" t="s">
        <v>218</v>
      </c>
      <c r="J36" s="8">
        <v>0.20833333333333334</v>
      </c>
      <c r="K36" s="8">
        <v>0.22638888888888889</v>
      </c>
      <c r="L36">
        <v>202</v>
      </c>
      <c r="M36">
        <v>3007</v>
      </c>
      <c r="N36">
        <v>130</v>
      </c>
      <c r="O36">
        <v>166</v>
      </c>
      <c r="P36">
        <v>102</v>
      </c>
      <c r="Q36">
        <v>100</v>
      </c>
      <c r="R36">
        <v>4</v>
      </c>
    </row>
    <row r="37" spans="1:33">
      <c r="A37" s="3">
        <v>45646</v>
      </c>
      <c r="B37" s="4" t="s">
        <v>27</v>
      </c>
      <c r="C37">
        <v>20.399999999999999</v>
      </c>
      <c r="D37" s="7">
        <f t="shared" si="4"/>
        <v>0.7846153846153846</v>
      </c>
      <c r="E37">
        <v>1.5</v>
      </c>
      <c r="I37" t="s">
        <v>113</v>
      </c>
    </row>
    <row r="38" spans="1:33">
      <c r="A38" s="3">
        <v>45647</v>
      </c>
      <c r="B38" s="4" t="s">
        <v>28</v>
      </c>
      <c r="C38">
        <v>20.9</v>
      </c>
      <c r="D38" s="7">
        <f t="shared" si="4"/>
        <v>0.80384615384615377</v>
      </c>
      <c r="E38">
        <v>1.2</v>
      </c>
      <c r="I38" t="s">
        <v>113</v>
      </c>
    </row>
    <row r="39" spans="1:33">
      <c r="A39" s="3">
        <v>45648</v>
      </c>
      <c r="B39" s="4" t="s">
        <v>29</v>
      </c>
      <c r="C39">
        <v>21.2</v>
      </c>
      <c r="D39" s="7">
        <f t="shared" si="4"/>
        <v>0.81538461538461537</v>
      </c>
      <c r="F39">
        <v>0.16</v>
      </c>
      <c r="I39" t="s">
        <v>104</v>
      </c>
      <c r="J39" s="12" t="s">
        <v>219</v>
      </c>
      <c r="L39">
        <v>40</v>
      </c>
      <c r="N39">
        <v>32</v>
      </c>
      <c r="O39">
        <v>28</v>
      </c>
      <c r="P39">
        <v>22</v>
      </c>
      <c r="Q39">
        <v>18</v>
      </c>
      <c r="R39">
        <v>4</v>
      </c>
    </row>
    <row r="40" spans="1:33" ht="29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2" t="s">
        <v>67</v>
      </c>
      <c r="N40" s="1" t="s">
        <v>68</v>
      </c>
      <c r="O40" s="1" t="s">
        <v>69</v>
      </c>
      <c r="P40" s="1" t="s">
        <v>70</v>
      </c>
      <c r="Q40" s="1" t="s">
        <v>71</v>
      </c>
      <c r="R40" s="2" t="s">
        <v>72</v>
      </c>
      <c r="S40" s="2" t="s">
        <v>73</v>
      </c>
      <c r="T40" s="2" t="s">
        <v>74</v>
      </c>
      <c r="U40" s="2" t="s">
        <v>75</v>
      </c>
      <c r="V40" s="2" t="s">
        <v>76</v>
      </c>
      <c r="W40" s="2" t="s">
        <v>77</v>
      </c>
      <c r="X40" s="2" t="s">
        <v>72</v>
      </c>
      <c r="Y40" s="2" t="s">
        <v>73</v>
      </c>
      <c r="Z40" s="2" t="s">
        <v>74</v>
      </c>
      <c r="AA40" s="2" t="s">
        <v>75</v>
      </c>
      <c r="AB40" s="2" t="s">
        <v>76</v>
      </c>
      <c r="AC40" s="2" t="s">
        <v>77</v>
      </c>
      <c r="AD40" s="1" t="s">
        <v>13</v>
      </c>
      <c r="AE40" s="1" t="s">
        <v>14</v>
      </c>
      <c r="AF40" s="1" t="s">
        <v>80</v>
      </c>
      <c r="AG40" s="1" t="s">
        <v>17</v>
      </c>
    </row>
    <row r="41" spans="1:33">
      <c r="A41" s="3">
        <v>45648</v>
      </c>
      <c r="B41" s="4" t="s">
        <v>29</v>
      </c>
      <c r="C41">
        <v>21.2</v>
      </c>
      <c r="D41" s="7">
        <f t="shared" ref="D41:D49" si="5">C41/$C$2</f>
        <v>0.81538461538461537</v>
      </c>
      <c r="F41">
        <v>0.48</v>
      </c>
      <c r="I41" t="s">
        <v>202</v>
      </c>
      <c r="J41" s="12" t="s">
        <v>220</v>
      </c>
      <c r="K41" t="s">
        <v>221</v>
      </c>
      <c r="L41">
        <v>300</v>
      </c>
      <c r="M41" s="11">
        <f>(N41+O41)/2</f>
        <v>0.53222094361334871</v>
      </c>
      <c r="N41" s="11">
        <f t="shared" ref="N41" si="6">(R41+X41)/(R41+S41+X41+Y41)</f>
        <v>0.54545454545454541</v>
      </c>
      <c r="O41" s="11">
        <f t="shared" ref="O41" si="7">(U41+AA41)/(U41+V41+AA41+AB41)</f>
        <v>0.51898734177215189</v>
      </c>
      <c r="P41" s="11">
        <f t="shared" ref="P41" si="8">O41-N41</f>
        <v>-2.6467203682393525E-2</v>
      </c>
      <c r="Q41" s="11">
        <f t="shared" ref="Q41" si="9">(R41+S41+U41+V41+X41+Y41+AA41+AB41)/(R41+S41+U41+V41+X41+Y41+AA41+AB41+W41+Z41+AC41+T41)</f>
        <v>0.48333333333333334</v>
      </c>
      <c r="R41">
        <v>36</v>
      </c>
      <c r="S41">
        <v>30</v>
      </c>
      <c r="T41">
        <v>84</v>
      </c>
      <c r="U41">
        <v>41</v>
      </c>
      <c r="V41">
        <v>38</v>
      </c>
      <c r="W41">
        <v>71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459</v>
      </c>
      <c r="AE41">
        <v>621</v>
      </c>
      <c r="AF41">
        <v>6</v>
      </c>
    </row>
    <row r="42" spans="1:33">
      <c r="A42" s="3">
        <v>45649</v>
      </c>
      <c r="B42" s="4" t="s">
        <v>19</v>
      </c>
      <c r="C42">
        <v>20.399999999999999</v>
      </c>
      <c r="D42" s="7">
        <f t="shared" si="5"/>
        <v>0.7846153846153846</v>
      </c>
      <c r="E42">
        <v>1.1000000000000001</v>
      </c>
      <c r="F42">
        <v>0.36</v>
      </c>
      <c r="I42" t="s">
        <v>202</v>
      </c>
      <c r="J42" s="8">
        <v>0.20347222222222222</v>
      </c>
      <c r="L42">
        <v>300</v>
      </c>
      <c r="M42" s="11">
        <f>(N42+O42)/2</f>
        <v>0.42377885131508319</v>
      </c>
      <c r="N42" s="11">
        <f t="shared" ref="N42" si="10">(R42+X42)/(R42+S42+X42+Y42)</f>
        <v>0.20987654320987653</v>
      </c>
      <c r="O42" s="11">
        <f t="shared" ref="O42" si="11">(U42+AA42)/(U42+V42+AA42+AB42)</f>
        <v>0.6376811594202898</v>
      </c>
      <c r="P42" s="11">
        <f t="shared" ref="P42" si="12">O42-N42</f>
        <v>0.42780461621041327</v>
      </c>
      <c r="Q42" s="11">
        <f t="shared" ref="Q42" si="13">(R42+S42+U42+V42+X42+Y42+AA42+AB42)/(R42+S42+U42+V42+X42+Y42+AA42+AB42+W42+Z42+AC42+T42)</f>
        <v>0.5</v>
      </c>
      <c r="R42">
        <v>17</v>
      </c>
      <c r="S42">
        <v>50</v>
      </c>
      <c r="T42">
        <v>73</v>
      </c>
      <c r="U42">
        <v>44</v>
      </c>
      <c r="V42">
        <v>25</v>
      </c>
      <c r="W42">
        <v>66</v>
      </c>
      <c r="X42">
        <v>0</v>
      </c>
      <c r="Y42">
        <v>14</v>
      </c>
      <c r="Z42">
        <v>11</v>
      </c>
      <c r="AA42">
        <v>0</v>
      </c>
      <c r="AB42">
        <v>0</v>
      </c>
      <c r="AC42">
        <v>0</v>
      </c>
      <c r="AF42">
        <v>6</v>
      </c>
    </row>
    <row r="43" spans="1:33">
      <c r="A43" s="3">
        <v>45650</v>
      </c>
      <c r="B43" s="4" t="s">
        <v>22</v>
      </c>
      <c r="I43" t="s">
        <v>113</v>
      </c>
    </row>
    <row r="44" spans="1:33">
      <c r="A44" s="3">
        <v>45651</v>
      </c>
      <c r="B44" s="4" t="s">
        <v>24</v>
      </c>
      <c r="C44">
        <v>20.6</v>
      </c>
      <c r="D44" s="7">
        <f t="shared" si="5"/>
        <v>0.79230769230769238</v>
      </c>
      <c r="E44">
        <v>1</v>
      </c>
      <c r="I44" t="s">
        <v>202</v>
      </c>
      <c r="J44" s="8">
        <v>9.7222222222222224E-2</v>
      </c>
      <c r="L44">
        <v>300</v>
      </c>
      <c r="M44" s="11">
        <f>(N44+O44)/2</f>
        <v>0.47511312217194568</v>
      </c>
      <c r="N44" s="11">
        <f t="shared" ref="N44" si="14">(R44+X44)/(R44+S44+X44+Y44)</f>
        <v>3.8461538461538464E-2</v>
      </c>
      <c r="O44" s="11">
        <f t="shared" ref="O44" si="15">(U44+AA44)/(U44+V44+AA44+AB44)</f>
        <v>0.91176470588235292</v>
      </c>
      <c r="P44" s="11">
        <f t="shared" ref="P44" si="16">O44-N44</f>
        <v>0.87330316742081449</v>
      </c>
      <c r="Q44" s="11">
        <f t="shared" ref="Q44" si="17">(R44+S44+U44+V44+X44+Y44+AA44+AB44)/(R44+S44+U44+V44+X44+Y44+AA44+AB44+W44+Z44+AC44+T44)</f>
        <v>0.57333333333333336</v>
      </c>
      <c r="R44">
        <v>3</v>
      </c>
      <c r="S44">
        <v>74</v>
      </c>
      <c r="T44">
        <v>49</v>
      </c>
      <c r="U44">
        <v>62</v>
      </c>
      <c r="V44">
        <v>6</v>
      </c>
      <c r="W44">
        <v>42</v>
      </c>
      <c r="X44">
        <v>1</v>
      </c>
      <c r="Y44">
        <v>26</v>
      </c>
      <c r="Z44">
        <v>37</v>
      </c>
      <c r="AA44">
        <v>0</v>
      </c>
      <c r="AB44">
        <v>0</v>
      </c>
      <c r="AC44">
        <v>0</v>
      </c>
      <c r="AD44">
        <v>71</v>
      </c>
      <c r="AE44">
        <v>900</v>
      </c>
      <c r="AF44">
        <v>6</v>
      </c>
    </row>
    <row r="45" spans="1:33">
      <c r="A45" s="3">
        <v>45652</v>
      </c>
      <c r="B45" s="4" t="s">
        <v>26</v>
      </c>
      <c r="C45">
        <v>20.3</v>
      </c>
      <c r="D45" s="7">
        <f t="shared" si="5"/>
        <v>0.78076923076923077</v>
      </c>
      <c r="E45">
        <v>0.7</v>
      </c>
      <c r="F45" s="10">
        <f>(R45+U45+X45+AA45)*AF45/1000</f>
        <v>0.44400000000000001</v>
      </c>
      <c r="G45" s="10">
        <f t="shared" ref="G45" si="18">E45+F45</f>
        <v>1.1439999999999999</v>
      </c>
      <c r="I45" t="s">
        <v>202</v>
      </c>
      <c r="J45" s="8">
        <v>0.22638888888888889</v>
      </c>
      <c r="K45" s="8">
        <v>0.26111111111111113</v>
      </c>
      <c r="L45">
        <v>300</v>
      </c>
      <c r="M45" s="11">
        <f>(N45+O45)/2</f>
        <v>0.45454545454545459</v>
      </c>
      <c r="N45" s="11">
        <f t="shared" ref="N45" si="19">(R45+X45)/(R45+S45+X45+Y45)</f>
        <v>0.21212121212121213</v>
      </c>
      <c r="O45" s="11">
        <f t="shared" ref="O45" si="20">(U45+AA45)/(U45+V45+AA45+AB45)</f>
        <v>0.69696969696969702</v>
      </c>
      <c r="P45" s="11">
        <f t="shared" ref="P45" si="21">O45-N45</f>
        <v>0.48484848484848486</v>
      </c>
      <c r="Q45" s="11">
        <f t="shared" ref="Q45" si="22">(R45+S45+U45+V45+X45+Y45+AA45+AB45)/(R45+S45+U45+V45+X45+Y45+AA45+AB45+W45+Z45+AC45+T45)</f>
        <v>0.66</v>
      </c>
      <c r="R45">
        <v>19</v>
      </c>
      <c r="S45">
        <v>58</v>
      </c>
      <c r="T45">
        <v>31</v>
      </c>
      <c r="U45">
        <v>46</v>
      </c>
      <c r="V45">
        <v>20</v>
      </c>
      <c r="W45">
        <v>32</v>
      </c>
      <c r="X45">
        <v>9</v>
      </c>
      <c r="Y45">
        <v>46</v>
      </c>
      <c r="Z45">
        <v>38</v>
      </c>
      <c r="AA45">
        <v>0</v>
      </c>
      <c r="AB45">
        <v>0</v>
      </c>
      <c r="AC45">
        <v>1</v>
      </c>
      <c r="AD45">
        <v>287</v>
      </c>
      <c r="AE45">
        <v>1008</v>
      </c>
      <c r="AF45">
        <v>6</v>
      </c>
    </row>
    <row r="46" spans="1:33">
      <c r="A46" s="3">
        <v>45653</v>
      </c>
      <c r="B46" s="4" t="s">
        <v>27</v>
      </c>
      <c r="C46">
        <v>20.100000000000001</v>
      </c>
      <c r="D46" s="7">
        <f t="shared" si="5"/>
        <v>0.77307692307692311</v>
      </c>
      <c r="E46">
        <v>1</v>
      </c>
      <c r="F46" s="10">
        <f>(R46+U46+X46+AA46)*AF46/1000</f>
        <v>0.216</v>
      </c>
      <c r="G46" s="10">
        <f t="shared" ref="G46" si="23">E46+F46</f>
        <v>1.216</v>
      </c>
      <c r="I46" t="s">
        <v>202</v>
      </c>
      <c r="J46" s="8">
        <v>0.20694444444444443</v>
      </c>
      <c r="K46" s="8">
        <v>0.24166666666666667</v>
      </c>
      <c r="L46">
        <v>300</v>
      </c>
      <c r="M46" s="11">
        <f>(N46+O46)/2</f>
        <v>0.47642679900744417</v>
      </c>
      <c r="N46" s="11">
        <f t="shared" ref="N46" si="24">(R46+X46)/(R46+S46+X46+Y46)</f>
        <v>0.30769230769230771</v>
      </c>
      <c r="O46" s="11">
        <f t="shared" ref="O46" si="25">(U46+AA46)/(U46+V46+AA46+AB46)</f>
        <v>0.64516129032258063</v>
      </c>
      <c r="P46" s="11">
        <f t="shared" ref="P46" si="26">O46-N46</f>
        <v>0.33746898263027292</v>
      </c>
      <c r="Q46" s="11">
        <f t="shared" ref="Q46" si="27">(R46+S46+U46+V46+X46+Y46+AA46+AB46)/(R46+S46+U46+V46+X46+Y46+AA46+AB46+W46+Z46+AC46+T46)</f>
        <v>0.27666666666666667</v>
      </c>
      <c r="R46">
        <v>16</v>
      </c>
      <c r="S46">
        <v>33</v>
      </c>
      <c r="T46">
        <v>97</v>
      </c>
      <c r="U46">
        <v>20</v>
      </c>
      <c r="V46">
        <v>11</v>
      </c>
      <c r="W46">
        <v>116</v>
      </c>
      <c r="X46">
        <v>0</v>
      </c>
      <c r="Y46">
        <v>3</v>
      </c>
      <c r="Z46">
        <v>4</v>
      </c>
      <c r="AA46">
        <v>0</v>
      </c>
      <c r="AB46">
        <v>0</v>
      </c>
      <c r="AC46">
        <v>0</v>
      </c>
      <c r="AD46">
        <v>159</v>
      </c>
      <c r="AE46">
        <v>374</v>
      </c>
      <c r="AF46">
        <v>6</v>
      </c>
    </row>
    <row r="47" spans="1:33">
      <c r="A47" s="3">
        <v>45654</v>
      </c>
      <c r="B47" s="4" t="s">
        <v>28</v>
      </c>
      <c r="C47">
        <v>20</v>
      </c>
      <c r="D47" s="7">
        <f t="shared" si="5"/>
        <v>0.76923076923076927</v>
      </c>
      <c r="E47">
        <v>1.5</v>
      </c>
      <c r="I47" t="s">
        <v>222</v>
      </c>
    </row>
    <row r="48" spans="1:33">
      <c r="A48" s="3">
        <v>45655</v>
      </c>
      <c r="B48" s="4" t="s">
        <v>29</v>
      </c>
      <c r="C48">
        <v>19.899999999999999</v>
      </c>
      <c r="D48" s="7">
        <f t="shared" si="5"/>
        <v>0.76538461538461533</v>
      </c>
      <c r="E48">
        <v>2.5</v>
      </c>
      <c r="I48" t="s">
        <v>222</v>
      </c>
    </row>
    <row r="49" spans="1:32">
      <c r="A49" s="3">
        <v>45656</v>
      </c>
      <c r="B49" s="4" t="s">
        <v>19</v>
      </c>
      <c r="C49">
        <v>21.1</v>
      </c>
      <c r="D49" s="7">
        <f t="shared" si="5"/>
        <v>0.81153846153846154</v>
      </c>
      <c r="E49" s="2" t="s">
        <v>67</v>
      </c>
      <c r="F49" s="1" t="s">
        <v>68</v>
      </c>
      <c r="G49" s="1" t="s">
        <v>69</v>
      </c>
      <c r="H49" s="1" t="s">
        <v>70</v>
      </c>
      <c r="I49" s="1" t="s">
        <v>71</v>
      </c>
      <c r="J49" s="2" t="s">
        <v>72</v>
      </c>
      <c r="K49" s="2" t="s">
        <v>73</v>
      </c>
      <c r="L49" s="2" t="s">
        <v>74</v>
      </c>
      <c r="M49" s="2" t="s">
        <v>75</v>
      </c>
      <c r="N49" s="2" t="s">
        <v>76</v>
      </c>
      <c r="O49" s="2" t="s">
        <v>77</v>
      </c>
      <c r="P49" s="2" t="s">
        <v>72</v>
      </c>
      <c r="Q49" s="2" t="s">
        <v>73</v>
      </c>
      <c r="R49" s="2" t="s">
        <v>74</v>
      </c>
      <c r="S49" s="2" t="s">
        <v>75</v>
      </c>
      <c r="T49" s="2" t="s">
        <v>76</v>
      </c>
      <c r="U49" s="2" t="s">
        <v>77</v>
      </c>
      <c r="V49">
        <v>24</v>
      </c>
      <c r="W49">
        <v>116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374</v>
      </c>
      <c r="AE49">
        <v>174</v>
      </c>
      <c r="AF49">
        <v>6</v>
      </c>
    </row>
    <row r="50" spans="1:32" ht="33.75" customHeight="1">
      <c r="E50" s="11">
        <f>(F50+G50)/2</f>
        <v>0.56180733162830343</v>
      </c>
      <c r="F50" s="11">
        <f>(J50+P50)/(J50+K50+P50+Q50)</f>
        <v>0.52941176470588236</v>
      </c>
      <c r="G50" s="11">
        <f>(M50+S50)/(M50+N50+S50+T50)</f>
        <v>0.59420289855072461</v>
      </c>
      <c r="H50" s="11">
        <f>G50-F50</f>
        <v>6.4791133844842252E-2</v>
      </c>
      <c r="I50" s="11">
        <f>(J50+K50+M50+N50+P50+Q50+S50+T50)/(J50+K50+M50+N50+P50+Q50+S50+T50+O50+R50+U50+L50)</f>
        <v>0.63720930232558137</v>
      </c>
      <c r="J50">
        <v>36</v>
      </c>
      <c r="K50">
        <v>32</v>
      </c>
      <c r="L50">
        <v>39</v>
      </c>
      <c r="M50">
        <v>41</v>
      </c>
      <c r="N50">
        <v>28</v>
      </c>
      <c r="O50">
        <v>39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32">
      <c r="E51" s="11">
        <f>(F51+G51)/2</f>
        <v>0.55312499999999998</v>
      </c>
      <c r="F51" s="11">
        <f>(J51+P51)/(J51+K51+P51+Q51)</f>
        <v>0.59375</v>
      </c>
      <c r="G51" s="11">
        <f>(M51+S51)/(M51+N51+S51+T51)</f>
        <v>0.51249999999999996</v>
      </c>
      <c r="H51" s="11">
        <f>G51-F51</f>
        <v>-8.1250000000000044E-2</v>
      </c>
      <c r="I51" s="11">
        <f>(J51+K51+M51+N51+P51+Q51+S51+T51)/(J51+K51+M51+N51+P51+Q51+S51+T51+O51+R51+U51+L51)</f>
        <v>0.58666666666666667</v>
      </c>
      <c r="J51">
        <v>51</v>
      </c>
      <c r="K51">
        <v>37</v>
      </c>
      <c r="L51">
        <v>48</v>
      </c>
      <c r="M51">
        <v>34</v>
      </c>
      <c r="N51">
        <v>33</v>
      </c>
      <c r="O51">
        <v>69</v>
      </c>
      <c r="P51">
        <v>6</v>
      </c>
      <c r="Q51">
        <v>2</v>
      </c>
      <c r="R51">
        <v>5</v>
      </c>
      <c r="S51">
        <v>7</v>
      </c>
      <c r="T51">
        <v>6</v>
      </c>
      <c r="U51">
        <v>2</v>
      </c>
    </row>
    <row r="52" spans="1:32">
      <c r="E52" s="11">
        <f>(F52+G52)/2</f>
        <v>0.47895480225988701</v>
      </c>
      <c r="F52" s="11">
        <f>(J52+P52)/(J52+K52+P52+Q52)</f>
        <v>0.48333333333333334</v>
      </c>
      <c r="G52" s="11">
        <f>(M52+S52)/(M52+N52+S52+T52)</f>
        <v>0.47457627118644069</v>
      </c>
      <c r="H52" s="11">
        <f>G52-F52</f>
        <v>-8.7570621468926468E-3</v>
      </c>
      <c r="I52" s="11">
        <f>(J52+K52+M52+N52+P52+Q52+S52+T52)/(J52+K52+M52+N52+P52+Q52+S52+T52+O52+R52+U52+L52)</f>
        <v>0.79333333333333333</v>
      </c>
      <c r="J52">
        <v>57</v>
      </c>
      <c r="K52">
        <v>61</v>
      </c>
      <c r="L52">
        <v>27</v>
      </c>
      <c r="M52">
        <v>54</v>
      </c>
      <c r="N52">
        <v>60</v>
      </c>
      <c r="O52">
        <v>33</v>
      </c>
      <c r="P52">
        <v>1</v>
      </c>
      <c r="Q52">
        <v>1</v>
      </c>
      <c r="R52">
        <v>0</v>
      </c>
      <c r="S52">
        <v>2</v>
      </c>
      <c r="T52">
        <v>2</v>
      </c>
      <c r="U52">
        <v>2</v>
      </c>
    </row>
    <row r="53" spans="1:32">
      <c r="E53" s="11">
        <f>(F53+G53)/2</f>
        <v>0.55602240896358546</v>
      </c>
      <c r="F53" s="11">
        <f>(J53+P53)/(J53+K53+P53+Q53)</f>
        <v>0.90196078431372551</v>
      </c>
      <c r="G53" s="11">
        <f>(M53+S53)/(M53+N53+S53+T53)</f>
        <v>0.21008403361344538</v>
      </c>
      <c r="H53" s="11">
        <f>G53-F53</f>
        <v>-0.6918767507002801</v>
      </c>
      <c r="I53" s="11">
        <f>(J53+K53+M53+N53+P53+Q53+S53+T53)/(J53+K53+M53+N53+P53+Q53+S53+T53+O53+R53+U53+L53)</f>
        <v>0.56666666666666665</v>
      </c>
      <c r="J53">
        <v>46</v>
      </c>
      <c r="K53">
        <v>5</v>
      </c>
      <c r="L53">
        <v>29</v>
      </c>
      <c r="M53">
        <v>18</v>
      </c>
      <c r="N53">
        <v>50</v>
      </c>
      <c r="O53">
        <v>41</v>
      </c>
      <c r="P53">
        <v>0</v>
      </c>
      <c r="Q53">
        <v>0</v>
      </c>
      <c r="R53">
        <v>0</v>
      </c>
      <c r="S53">
        <v>7</v>
      </c>
      <c r="T53">
        <v>44</v>
      </c>
      <c r="U53">
        <v>60</v>
      </c>
    </row>
    <row r="54" spans="1:32">
      <c r="F54" s="11"/>
      <c r="G54" s="11"/>
    </row>
    <row r="55" spans="1:32">
      <c r="F55" s="11"/>
      <c r="G55" s="11"/>
    </row>
    <row r="56" spans="1:32">
      <c r="E56" s="11">
        <f>(F56+G56)/2</f>
        <v>0.57091346153846156</v>
      </c>
      <c r="F56" s="11">
        <f>(J56+P56)/(J56+K56+P56+Q56)</f>
        <v>0.96875</v>
      </c>
      <c r="G56" s="11">
        <f>(M56+S56)/(M56+N56+S56+T56)</f>
        <v>0.17307692307692307</v>
      </c>
      <c r="H56" s="11">
        <f>G56-F56</f>
        <v>-0.79567307692307687</v>
      </c>
      <c r="I56" s="11">
        <f>(J56+K56+M56+N56+P56+Q56+S56+T56)/(J56+K56+M56+N56+P56+Q56+S56+T56+O56+R56+U56+L56)</f>
        <v>0.38666666666666666</v>
      </c>
      <c r="J56">
        <v>62</v>
      </c>
      <c r="K56">
        <v>2</v>
      </c>
      <c r="L56">
        <v>47</v>
      </c>
      <c r="M56">
        <v>8</v>
      </c>
      <c r="N56">
        <v>37</v>
      </c>
      <c r="O56">
        <v>85</v>
      </c>
      <c r="P56">
        <v>0</v>
      </c>
      <c r="Q56">
        <v>0</v>
      </c>
      <c r="R56">
        <v>0</v>
      </c>
      <c r="S56">
        <v>1</v>
      </c>
      <c r="T56">
        <v>6</v>
      </c>
      <c r="U56">
        <v>52</v>
      </c>
    </row>
    <row r="57" spans="1:32">
      <c r="E57" s="11">
        <f>(F57+G57)/2</f>
        <v>0.79166666666666674</v>
      </c>
      <c r="F57" s="11">
        <f>(J57+P57)/(J57+K57+P57+Q57)</f>
        <v>1</v>
      </c>
      <c r="G57" s="11">
        <f>(M57+S57)/(M57+N57+S57+T57)</f>
        <v>0.58333333333333337</v>
      </c>
      <c r="H57" s="11">
        <f>G57-F57</f>
        <v>-0.41666666666666663</v>
      </c>
      <c r="I57" s="11">
        <f>(J57+K57+M57+N57+P57+Q57+S57+T57)/(J57+K57+M57+N57+P57+Q57+S57+T57+O57+R57+U57+L57)</f>
        <v>0.36140350877192984</v>
      </c>
      <c r="J57">
        <v>43</v>
      </c>
      <c r="K57">
        <v>0</v>
      </c>
      <c r="L57">
        <v>8</v>
      </c>
      <c r="M57">
        <v>18</v>
      </c>
      <c r="N57">
        <v>20</v>
      </c>
      <c r="O57">
        <v>57</v>
      </c>
      <c r="P57">
        <v>0</v>
      </c>
      <c r="Q57">
        <v>0</v>
      </c>
      <c r="R57">
        <v>0</v>
      </c>
      <c r="S57">
        <v>17</v>
      </c>
      <c r="T57">
        <v>5</v>
      </c>
      <c r="U57">
        <v>117</v>
      </c>
    </row>
    <row r="58" spans="1:32">
      <c r="E58" s="2" t="s">
        <v>67</v>
      </c>
      <c r="F58" s="1" t="s">
        <v>68</v>
      </c>
      <c r="G58" s="1" t="s">
        <v>69</v>
      </c>
      <c r="H58" s="1" t="s">
        <v>70</v>
      </c>
      <c r="I58" s="1" t="s">
        <v>71</v>
      </c>
      <c r="J58" s="2" t="s">
        <v>72</v>
      </c>
      <c r="K58" s="2" t="s">
        <v>73</v>
      </c>
      <c r="L58" s="2" t="s">
        <v>74</v>
      </c>
      <c r="M58" s="2" t="s">
        <v>75</v>
      </c>
      <c r="N58" s="2" t="s">
        <v>76</v>
      </c>
      <c r="O58" s="2" t="s">
        <v>77</v>
      </c>
      <c r="P58" s="2" t="s">
        <v>114</v>
      </c>
      <c r="Q58" s="2" t="s">
        <v>73</v>
      </c>
      <c r="R58" s="2" t="s">
        <v>74</v>
      </c>
      <c r="S58" s="2" t="s">
        <v>75</v>
      </c>
      <c r="T58" s="2" t="s">
        <v>76</v>
      </c>
      <c r="U58" s="2" t="s">
        <v>77</v>
      </c>
    </row>
    <row r="59" spans="1:32">
      <c r="E59" s="11">
        <f>(F59+G59)/2</f>
        <v>0.81547619047619047</v>
      </c>
      <c r="F59" s="11">
        <f>(J59+P59)/(J59+K59+P59+Q59)</f>
        <v>1</v>
      </c>
      <c r="G59" s="11">
        <f>(M59+S59)/(M59+N59+S59+T59)</f>
        <v>0.63095238095238093</v>
      </c>
      <c r="H59" s="11">
        <f>G59-F59</f>
        <v>-0.36904761904761907</v>
      </c>
      <c r="I59" s="11">
        <f>(J59+K59+M59+N59+P59+Q59+S59+T59)/(J59+K59+M59+N59+P59+Q59+S59+T59+O59+R59+U59+L59)</f>
        <v>0.70119521912350602</v>
      </c>
      <c r="J59">
        <f>37+18</f>
        <v>55</v>
      </c>
      <c r="K59">
        <v>0</v>
      </c>
      <c r="L59">
        <v>0</v>
      </c>
      <c r="M59">
        <v>37</v>
      </c>
      <c r="N59">
        <v>24</v>
      </c>
      <c r="O59">
        <v>62</v>
      </c>
      <c r="P59">
        <v>37</v>
      </c>
      <c r="Q59">
        <v>0</v>
      </c>
      <c r="R59">
        <v>0</v>
      </c>
      <c r="S59">
        <v>16</v>
      </c>
      <c r="T59">
        <v>7</v>
      </c>
      <c r="U59">
        <v>13</v>
      </c>
    </row>
    <row r="60" spans="1:32">
      <c r="E60" s="11">
        <f>(F60+G60)/2</f>
        <v>0.80303030303030298</v>
      </c>
      <c r="F60" s="11">
        <f>(J60+P60)/(J60+K60+P60+Q60)</f>
        <v>1</v>
      </c>
      <c r="G60" s="11">
        <f>(M60+S60)/(M60+N60+S60+T60)</f>
        <v>0.60606060606060608</v>
      </c>
      <c r="H60" s="11">
        <f>G60-F60</f>
        <v>-0.39393939393939392</v>
      </c>
      <c r="I60" s="11">
        <f>(J60+K60+M60+N60+P60+Q60+S60+T60)/(J60+K60+M60+N60+P60+Q60+S60+T60+O60+R60+U60+L60)</f>
        <v>0.39</v>
      </c>
      <c r="J60">
        <f>37+18</f>
        <v>55</v>
      </c>
      <c r="K60">
        <v>0</v>
      </c>
      <c r="L60">
        <v>4</v>
      </c>
      <c r="M60">
        <v>11</v>
      </c>
      <c r="N60">
        <v>8</v>
      </c>
      <c r="O60">
        <f>82+41</f>
        <v>123</v>
      </c>
      <c r="P60">
        <v>29</v>
      </c>
      <c r="Q60">
        <v>0</v>
      </c>
      <c r="R60">
        <v>0</v>
      </c>
      <c r="S60">
        <v>9</v>
      </c>
      <c r="T60">
        <v>5</v>
      </c>
      <c r="U60">
        <f>38+18</f>
        <v>56</v>
      </c>
    </row>
    <row r="61" spans="1:32">
      <c r="E61" s="11">
        <f>(F61+G61)/2</f>
        <v>0.97972972972972983</v>
      </c>
      <c r="F61" s="11">
        <f>(J61+P61)/(J61+K61+P61+Q61)</f>
        <v>0.98648648648648651</v>
      </c>
      <c r="G61" s="11">
        <f>(M61+S61)/(M61+N61+S61+T61)</f>
        <v>0.97297297297297303</v>
      </c>
      <c r="H61" s="11">
        <f>G61-F61</f>
        <v>-1.3513513513513487E-2</v>
      </c>
      <c r="I61" s="11">
        <f>(J61+K61+M61+N61+P61+Q61+S61+T61)/(J61+K61+M61+N61+P61+Q61+S61+T61+O61+R61+U61+L61)</f>
        <v>0.37</v>
      </c>
      <c r="J61">
        <v>48</v>
      </c>
      <c r="K61">
        <v>0</v>
      </c>
      <c r="L61">
        <v>4</v>
      </c>
      <c r="M61">
        <v>17</v>
      </c>
      <c r="N61">
        <v>0</v>
      </c>
      <c r="O61">
        <v>131</v>
      </c>
      <c r="P61">
        <v>25</v>
      </c>
      <c r="Q61">
        <v>1</v>
      </c>
      <c r="R61">
        <v>0</v>
      </c>
      <c r="S61">
        <v>19</v>
      </c>
      <c r="T61">
        <v>1</v>
      </c>
      <c r="U61">
        <v>54</v>
      </c>
    </row>
    <row r="62" spans="1:32">
      <c r="E62" s="11">
        <f>(F62+G62)/2</f>
        <v>0.98529411764705888</v>
      </c>
      <c r="F62" s="11">
        <f>(J62+P62)/(J62+K62+P62+Q62)</f>
        <v>1</v>
      </c>
      <c r="G62" s="11">
        <f>(M62+S62)/(M62+N62+S62+T62)</f>
        <v>0.97058823529411764</v>
      </c>
      <c r="H62" s="11">
        <f>G62-F62</f>
        <v>-2.9411764705882359E-2</v>
      </c>
      <c r="I62" s="11">
        <f>(J62+K62+M62+N62+P62+Q62+S62+T62)/(J62+K62+M62+N62+P62+Q62+S62+T62+O62+R62+U62+L62)</f>
        <v>0.53</v>
      </c>
      <c r="J62">
        <v>59</v>
      </c>
      <c r="K62">
        <v>0</v>
      </c>
      <c r="L62">
        <v>5</v>
      </c>
      <c r="M62">
        <v>39</v>
      </c>
      <c r="N62">
        <v>2</v>
      </c>
      <c r="O62">
        <v>95</v>
      </c>
      <c r="P62">
        <v>32</v>
      </c>
      <c r="Q62">
        <v>0</v>
      </c>
      <c r="R62">
        <v>0</v>
      </c>
      <c r="S62">
        <v>27</v>
      </c>
      <c r="T62">
        <v>0</v>
      </c>
      <c r="U62">
        <v>41</v>
      </c>
    </row>
    <row r="64" spans="1:32">
      <c r="E64" s="11">
        <f>(F64+G64)/2</f>
        <v>0.95660358160358161</v>
      </c>
      <c r="F64" s="11">
        <f>(J64+P64)/(J64+K64+P64+Q64)</f>
        <v>0.93518518518518523</v>
      </c>
      <c r="G64" s="11">
        <f>(M64+S64)/(M64+N64+S64+T64)</f>
        <v>0.97802197802197799</v>
      </c>
      <c r="H64" s="11">
        <f>G64-F64</f>
        <v>4.2836792836792759E-2</v>
      </c>
      <c r="I64" s="11">
        <f>(J64+K64+M64+N64+P64+Q64+S64+T64)/(J64+K64+M64+N64+P64+Q64+S64+T64+O64+R64+U64+L64)</f>
        <v>0.66333333333333333</v>
      </c>
      <c r="J64">
        <v>73</v>
      </c>
      <c r="K64">
        <v>2</v>
      </c>
      <c r="L64">
        <v>17</v>
      </c>
      <c r="M64">
        <v>67</v>
      </c>
      <c r="N64">
        <v>1</v>
      </c>
      <c r="O64">
        <v>40</v>
      </c>
      <c r="P64">
        <v>28</v>
      </c>
      <c r="Q64">
        <v>5</v>
      </c>
      <c r="R64">
        <v>13</v>
      </c>
      <c r="S64">
        <v>22</v>
      </c>
      <c r="T64">
        <v>1</v>
      </c>
      <c r="U64">
        <v>31</v>
      </c>
    </row>
    <row r="65" spans="5:21">
      <c r="E65" s="11">
        <f>(F65+G65)/2</f>
        <v>0.93001089324618735</v>
      </c>
      <c r="F65" s="11">
        <f>(J65+P65)/(J65+K65+P65+Q65)</f>
        <v>0.87962962962962965</v>
      </c>
      <c r="G65" s="11">
        <f>(M65+S65)/(M65+N65+S65+T65)</f>
        <v>0.98039215686274506</v>
      </c>
      <c r="H65" s="11">
        <f>G65-F65</f>
        <v>0.10076252723311541</v>
      </c>
      <c r="I65" s="11">
        <f>(J65+K65+M65+N65+P65+Q65+S65+T65)/(J65+K65+M65+N65+P65+Q65+S65+T65+O65+R65+U65+L65)</f>
        <v>0.7</v>
      </c>
      <c r="J65">
        <v>63</v>
      </c>
      <c r="K65">
        <v>10</v>
      </c>
      <c r="L65">
        <v>29</v>
      </c>
      <c r="M65">
        <v>66</v>
      </c>
      <c r="N65">
        <v>0</v>
      </c>
      <c r="O65">
        <v>32</v>
      </c>
      <c r="P65">
        <v>32</v>
      </c>
      <c r="Q65">
        <v>3</v>
      </c>
      <c r="R65">
        <v>16</v>
      </c>
      <c r="S65">
        <v>34</v>
      </c>
      <c r="T65">
        <v>2</v>
      </c>
      <c r="U65">
        <v>13</v>
      </c>
    </row>
    <row r="66" spans="5:21">
      <c r="E66" s="11">
        <f>(F66+G66)/2</f>
        <v>0.90889492175023956</v>
      </c>
      <c r="F66" s="11">
        <f>(J66+P66)/(J66+K66+P66+Q66)</f>
        <v>0.93069306930693074</v>
      </c>
      <c r="G66" s="11">
        <f>(M66+S66)/(M66+N66+S66+T66)</f>
        <v>0.88709677419354838</v>
      </c>
      <c r="H66" s="11">
        <f>G66-F66</f>
        <v>-4.3596295113382366E-2</v>
      </c>
      <c r="I66" s="11">
        <f>(J66+K66+M66+N66+P66+Q66+S66+T66)/(J66+K66+M66+N66+P66+Q66+S66+T66+O66+R66+U66+L66)</f>
        <v>0.54333333333333333</v>
      </c>
      <c r="J66">
        <v>68</v>
      </c>
      <c r="K66">
        <v>6</v>
      </c>
      <c r="L66">
        <v>22</v>
      </c>
      <c r="M66">
        <v>37</v>
      </c>
      <c r="N66">
        <v>5</v>
      </c>
      <c r="O66">
        <v>62</v>
      </c>
      <c r="P66">
        <v>26</v>
      </c>
      <c r="Q66">
        <v>1</v>
      </c>
      <c r="R66">
        <v>21</v>
      </c>
      <c r="S66">
        <v>18</v>
      </c>
      <c r="T66">
        <v>2</v>
      </c>
      <c r="U66">
        <v>32</v>
      </c>
    </row>
    <row r="67" spans="5:21">
      <c r="E67" s="11">
        <f>(F67+G67)/2</f>
        <v>0.43055848261327712</v>
      </c>
      <c r="F67" s="11">
        <f>(J67+P67)/(J67+K67+P67+Q67)</f>
        <v>0.1076923076923077</v>
      </c>
      <c r="G67" s="11">
        <f>(M67+S67)/(M67+N67+S67+T67)</f>
        <v>0.75342465753424659</v>
      </c>
      <c r="H67" s="11">
        <f>G67-F67</f>
        <v>0.64573234984193895</v>
      </c>
      <c r="I67" s="11">
        <f>(J67+K67+M67+N67+P67+Q67+S67+T67)/(J67+K67+M67+N67+P67+Q67+S67+T67+O67+R67+U67+L67)</f>
        <v>0.5092250922509225</v>
      </c>
      <c r="J67">
        <v>4</v>
      </c>
      <c r="K67">
        <v>37</v>
      </c>
      <c r="L67">
        <v>58</v>
      </c>
      <c r="M67">
        <v>38</v>
      </c>
      <c r="N67">
        <v>12</v>
      </c>
      <c r="O67">
        <v>33</v>
      </c>
      <c r="P67">
        <v>3</v>
      </c>
      <c r="Q67">
        <v>21</v>
      </c>
      <c r="R67">
        <v>24</v>
      </c>
      <c r="S67">
        <v>17</v>
      </c>
      <c r="T67">
        <v>6</v>
      </c>
      <c r="U67">
        <v>18</v>
      </c>
    </row>
    <row r="68" spans="5:21">
      <c r="E68" s="11">
        <f>(F68+G68)/2</f>
        <v>0.40708252111760884</v>
      </c>
      <c r="F68" s="11">
        <f>(J68+P68)/(J68+K68+P68+Q68)</f>
        <v>2.4691358024691357E-2</v>
      </c>
      <c r="G68" s="11">
        <f>(M68+S68)/(M68+N68+S68+T68)</f>
        <v>0.78947368421052633</v>
      </c>
      <c r="H68" s="11">
        <f>G68-F68</f>
        <v>0.76478232618583497</v>
      </c>
      <c r="I68" s="11">
        <f>(J68+K68+M68+N68+P68+Q68+S68+T68)/(J68+K68+M68+N68+P68+Q68+S68+T68+O68+R68+U68+L68)</f>
        <v>0.58364312267657992</v>
      </c>
      <c r="J68">
        <v>1</v>
      </c>
      <c r="K68">
        <v>46</v>
      </c>
      <c r="L68">
        <v>64</v>
      </c>
      <c r="M68">
        <v>41</v>
      </c>
      <c r="N68">
        <v>11</v>
      </c>
      <c r="O68">
        <v>15</v>
      </c>
      <c r="P68">
        <v>1</v>
      </c>
      <c r="Q68">
        <v>33</v>
      </c>
      <c r="R68">
        <v>22</v>
      </c>
      <c r="S68">
        <v>19</v>
      </c>
      <c r="T68">
        <v>5</v>
      </c>
      <c r="U68">
        <v>11</v>
      </c>
    </row>
    <row r="71" spans="5:21">
      <c r="E71" s="11">
        <f>(F71+G71)/2</f>
        <v>0.34492635024549922</v>
      </c>
      <c r="F71" s="11">
        <f>(J71+P71)/(J71+K71+P71+Q71)</f>
        <v>0.11538461538461539</v>
      </c>
      <c r="G71" s="11">
        <f>(M71+S71)/(M71+N71+S71+T71)</f>
        <v>0.57446808510638303</v>
      </c>
      <c r="H71" s="11">
        <f>G71-F71</f>
        <v>0.45908346972176761</v>
      </c>
      <c r="I71" s="11">
        <f>(J71+K71+M71+N71+P71+Q71+S71+T71)/(J71+K71+M71+N71+P71+Q71+S71+T71+O71+R71+U71+L71)</f>
        <v>0.54074074074074074</v>
      </c>
      <c r="J71" s="9">
        <v>4</v>
      </c>
      <c r="K71" s="9">
        <v>28</v>
      </c>
      <c r="L71" s="9">
        <v>58</v>
      </c>
      <c r="M71" s="9">
        <v>38</v>
      </c>
      <c r="N71" s="9">
        <v>23</v>
      </c>
      <c r="O71" s="9">
        <v>29</v>
      </c>
      <c r="P71" s="9">
        <v>2</v>
      </c>
      <c r="Q71" s="9">
        <v>18</v>
      </c>
      <c r="R71" s="9">
        <v>25</v>
      </c>
      <c r="S71" s="9">
        <v>16</v>
      </c>
      <c r="T71" s="9">
        <v>17</v>
      </c>
      <c r="U71" s="9">
        <v>12</v>
      </c>
    </row>
    <row r="72" spans="5:21">
      <c r="E72" s="11">
        <f>(F72+G72)/2</f>
        <v>0.47887323943661969</v>
      </c>
      <c r="F72" s="11">
        <f>(J72+P72)/(J72+K72+P72+Q72)</f>
        <v>0</v>
      </c>
      <c r="G72" s="11">
        <f>(M72+S72)/(M72+N72+S72+T72)</f>
        <v>0.95774647887323938</v>
      </c>
      <c r="H72" s="11">
        <f>G72-F72</f>
        <v>0.95774647887323938</v>
      </c>
      <c r="I72" s="11">
        <f>(J72+K72+M72+N72+P72+Q72+S72+T72)/(J72+K72+M72+N72+P72+Q72+S72+T72+O72+R72+U72+L72)</f>
        <v>0.4606741573033708</v>
      </c>
      <c r="J72">
        <v>0</v>
      </c>
      <c r="K72">
        <v>31</v>
      </c>
      <c r="L72">
        <v>82</v>
      </c>
      <c r="M72">
        <v>46</v>
      </c>
      <c r="N72">
        <v>2</v>
      </c>
      <c r="O72">
        <v>16</v>
      </c>
      <c r="P72">
        <v>0</v>
      </c>
      <c r="Q72">
        <v>21</v>
      </c>
      <c r="R72">
        <v>37</v>
      </c>
      <c r="S72">
        <v>22</v>
      </c>
      <c r="T72">
        <v>1</v>
      </c>
      <c r="U72">
        <v>9</v>
      </c>
    </row>
    <row r="73" spans="5:21">
      <c r="E73" s="11">
        <f>(F73+G73)/2</f>
        <v>0.5</v>
      </c>
      <c r="F73" s="11">
        <f>(J73+P73)/(J73+K73+P73+Q73)</f>
        <v>0</v>
      </c>
      <c r="G73" s="11">
        <f>(M73+S73)/(M73+N73+S73+T73)</f>
        <v>1</v>
      </c>
      <c r="H73" s="11">
        <f>G73-F73</f>
        <v>1</v>
      </c>
      <c r="I73" s="11">
        <f>(J73+K73+M73+N73+P73+Q73+S73+T73)/(J73+K73+M73+N73+P73+Q73+S73+T73+O73+R73+U73+L73)</f>
        <v>0.55471698113207546</v>
      </c>
      <c r="J73">
        <v>0</v>
      </c>
      <c r="K73">
        <v>49</v>
      </c>
      <c r="L73">
        <v>86</v>
      </c>
      <c r="M73">
        <v>38</v>
      </c>
      <c r="N73">
        <v>0</v>
      </c>
      <c r="O73">
        <v>3</v>
      </c>
      <c r="P73">
        <v>0</v>
      </c>
      <c r="Q73">
        <v>41</v>
      </c>
      <c r="R73">
        <v>28</v>
      </c>
      <c r="S73">
        <v>19</v>
      </c>
      <c r="T73">
        <v>0</v>
      </c>
      <c r="U73">
        <v>1</v>
      </c>
    </row>
    <row r="74" spans="5:21">
      <c r="E74">
        <v>2049</v>
      </c>
      <c r="F74">
        <v>281</v>
      </c>
      <c r="G74">
        <v>652</v>
      </c>
      <c r="H74">
        <v>113</v>
      </c>
      <c r="I74">
        <v>114</v>
      </c>
    </row>
    <row r="75" spans="5:21">
      <c r="E75" s="11">
        <f>(F75+G75)/2</f>
        <v>0.54735051915503041</v>
      </c>
      <c r="F75" s="11">
        <f>(J75+P75)/(J75+K75+P75+Q75)</f>
        <v>0.11224489795918367</v>
      </c>
      <c r="G75" s="11">
        <f>(M75+S75)/(M75+N75+S75+T75)</f>
        <v>0.98245614035087714</v>
      </c>
      <c r="H75" s="11">
        <f>G75-F75</f>
        <v>0.87021124239169345</v>
      </c>
      <c r="I75" s="11">
        <f>(J75+K75+M75+N75+P75+Q75+S75+T75)/(J75+K75+M75+N75+P75+Q75+S75+T75+O75+R75+U75+L75)</f>
        <v>0.58490566037735847</v>
      </c>
      <c r="J75">
        <v>6</v>
      </c>
      <c r="K75">
        <v>52</v>
      </c>
      <c r="L75">
        <v>77</v>
      </c>
      <c r="M75">
        <v>37</v>
      </c>
      <c r="N75">
        <v>0</v>
      </c>
      <c r="O75">
        <v>4</v>
      </c>
      <c r="P75">
        <v>5</v>
      </c>
      <c r="Q75">
        <v>35</v>
      </c>
      <c r="R75">
        <v>28</v>
      </c>
      <c r="S75">
        <v>19</v>
      </c>
      <c r="T75">
        <v>1</v>
      </c>
      <c r="U75">
        <v>1</v>
      </c>
    </row>
    <row r="78" spans="5:21">
      <c r="E78" s="11">
        <f>(F78+G78)/2</f>
        <v>0.51470588235294112</v>
      </c>
      <c r="F78" s="11">
        <f>(J78+P78)/(J78+K78+P78+Q78)</f>
        <v>2.9411764705882353E-2</v>
      </c>
      <c r="G78" s="11">
        <f>(M78+S78)/(M78+N78+S78+T78)</f>
        <v>1</v>
      </c>
      <c r="H78" s="11">
        <f>G78-F78</f>
        <v>0.97058823529411764</v>
      </c>
      <c r="I78" s="11">
        <f>(J78+K78+M78+N78+P78+Q78+S78+T78)/(J78+K78+M78+N78+P78+Q78+S78+T78+O78+R78+U78+L78)</f>
        <v>0.51879699248120303</v>
      </c>
      <c r="J78">
        <v>2</v>
      </c>
      <c r="K78">
        <v>34</v>
      </c>
      <c r="L78">
        <v>95</v>
      </c>
      <c r="M78">
        <v>46</v>
      </c>
      <c r="N78">
        <v>0</v>
      </c>
      <c r="O78">
        <v>0</v>
      </c>
      <c r="P78">
        <v>0</v>
      </c>
      <c r="Q78">
        <v>32</v>
      </c>
      <c r="R78">
        <v>33</v>
      </c>
      <c r="S78">
        <v>24</v>
      </c>
      <c r="T78">
        <v>0</v>
      </c>
      <c r="U78">
        <v>0</v>
      </c>
    </row>
    <row r="79" spans="5:21">
      <c r="E79" s="11">
        <f>(F79+G79)/2</f>
        <v>0.5</v>
      </c>
      <c r="F79" s="11">
        <f>(J79+P79)/(J79+K79+P79+Q79)</f>
        <v>0</v>
      </c>
      <c r="G79" s="11">
        <f>(M79+S79)/(M79+N79+S79+T79)</f>
        <v>1</v>
      </c>
      <c r="H79" s="11">
        <f>G79-F79</f>
        <v>1</v>
      </c>
      <c r="I79" s="11">
        <f>(J79+K79+M79+N79+P79+Q79+S79+T79)/(J79+K79+M79+N79+P79+Q79+S79+T79+O79+R79+U79+L79)</f>
        <v>0.54189944134078216</v>
      </c>
      <c r="J79">
        <v>0</v>
      </c>
      <c r="K79">
        <v>14</v>
      </c>
      <c r="L79">
        <v>58</v>
      </c>
      <c r="M79">
        <v>49</v>
      </c>
      <c r="N79">
        <v>0</v>
      </c>
      <c r="O79">
        <v>0</v>
      </c>
      <c r="P79">
        <v>0</v>
      </c>
      <c r="Q79">
        <v>10</v>
      </c>
      <c r="R79">
        <v>24</v>
      </c>
      <c r="S79">
        <v>24</v>
      </c>
      <c r="T79">
        <v>0</v>
      </c>
      <c r="U79">
        <v>0</v>
      </c>
    </row>
    <row r="80" spans="5:21">
      <c r="E80" s="11" t="e">
        <f>(F80+G80)/2</f>
        <v>#DIV/0!</v>
      </c>
      <c r="F80" s="11">
        <f>(J80+P80)/(J80+K80+P80+Q80)</f>
        <v>0.16216216216216217</v>
      </c>
      <c r="G80" s="11" t="e">
        <f>(M80+S80)/(M80+N80+S80+T80)</f>
        <v>#DIV/0!</v>
      </c>
      <c r="H80" s="11" t="e">
        <f>G80-F80</f>
        <v>#DIV/0!</v>
      </c>
      <c r="I80" s="11">
        <f>(J80+K80+M80+N80+P80+Q80+S80+T80)/(J80+K80+M80+N80+P80+Q80+S80+T80+O80+R80+U80+L80)</f>
        <v>0.14396887159533073</v>
      </c>
      <c r="J80">
        <v>6</v>
      </c>
      <c r="K80">
        <v>31</v>
      </c>
      <c r="L80">
        <v>220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5:21">
      <c r="E81" s="11" t="e">
        <f>(F81+G81)/2</f>
        <v>#DIV/0!</v>
      </c>
      <c r="F81" s="11">
        <f>(J81+P81)/(J81+K81+P81+Q81)</f>
        <v>0.08</v>
      </c>
      <c r="G81" s="11" t="e">
        <f>(M81+S81)/(M81+N81+S81+T81)</f>
        <v>#DIV/0!</v>
      </c>
      <c r="H81" s="11" t="e">
        <f>G81-F81</f>
        <v>#DIV/0!</v>
      </c>
      <c r="I81" s="11">
        <f>(J81+K81+M81+N81+P81+Q81+S81+T81)/(J81+K81+M81+N81+P81+Q81+S81+T81+O81+R81+U81+L81)</f>
        <v>9.727626459143969E-2</v>
      </c>
      <c r="J81">
        <v>2</v>
      </c>
      <c r="K81">
        <v>23</v>
      </c>
      <c r="L81">
        <v>232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5:21">
      <c r="E82" s="11" t="e">
        <f>(F82+G82)/2</f>
        <v>#DIV/0!</v>
      </c>
      <c r="F82" s="11">
        <f>(J82+P82)/(J82+K82+P82+Q82)</f>
        <v>0</v>
      </c>
      <c r="G82" s="11" t="e">
        <f>(M82+S82)/(M82+N82+S82+T82)</f>
        <v>#DIV/0!</v>
      </c>
      <c r="H82" s="11" t="e">
        <f>G82-F82</f>
        <v>#DIV/0!</v>
      </c>
      <c r="I82" s="11">
        <f>(J82+K82+M82+N82+P82+Q82+S82+T82)/(J82+K82+M82+N82+P82+Q82+S82+T82+O82+R82+U82+L82)</f>
        <v>9.6899224806201556E-2</v>
      </c>
      <c r="J82">
        <v>0</v>
      </c>
      <c r="K82">
        <v>25</v>
      </c>
      <c r="L82">
        <v>233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4" spans="5:21">
      <c r="E84" s="11" t="e">
        <f>(F84+G84)/2</f>
        <v>#DIV/0!</v>
      </c>
      <c r="F84" s="11">
        <f>(J84+P84)/(J84+K84+P84+Q84)</f>
        <v>0.16666666666666666</v>
      </c>
      <c r="G84" s="11" t="e">
        <f>(M84+S84)/(M84+N84+S84+T84)</f>
        <v>#DIV/0!</v>
      </c>
      <c r="H84" s="11" t="e">
        <f>G84-F84</f>
        <v>#DIV/0!</v>
      </c>
      <c r="I84" s="11">
        <f>(J84+K84+M84+N84+P84+Q84+S84+T84)/(J84+K84+M84+N84+P84+Q84+S84+T84+O84+R84+U84+L84)</f>
        <v>0.06</v>
      </c>
      <c r="J84">
        <v>3</v>
      </c>
      <c r="K84">
        <v>15</v>
      </c>
      <c r="L84">
        <v>282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5:21">
      <c r="E85" s="1" t="s">
        <v>12</v>
      </c>
      <c r="F85" s="1" t="s">
        <v>13</v>
      </c>
      <c r="G85" s="1" t="s">
        <v>14</v>
      </c>
      <c r="H85" s="1" t="s">
        <v>15</v>
      </c>
      <c r="I85" s="1" t="s">
        <v>16</v>
      </c>
    </row>
    <row r="86" spans="5:21">
      <c r="F86">
        <v>338</v>
      </c>
      <c r="G86">
        <v>74</v>
      </c>
      <c r="H86">
        <v>137</v>
      </c>
      <c r="I86">
        <v>0</v>
      </c>
    </row>
    <row r="87" spans="5:21">
      <c r="F87">
        <v>294</v>
      </c>
      <c r="G87">
        <v>17</v>
      </c>
      <c r="H87">
        <v>180</v>
      </c>
      <c r="I87">
        <v>0</v>
      </c>
    </row>
    <row r="88" spans="5:21">
      <c r="E88" s="11" t="e">
        <f>(F88+G88)/2</f>
        <v>#DIV/0!</v>
      </c>
      <c r="F88" s="11">
        <f>(J88+P88)/(J88+K88+P88+Q88)</f>
        <v>0.35</v>
      </c>
      <c r="G88" s="11" t="e">
        <f>(M88+S88)/(M88+N88+S88+T88)</f>
        <v>#DIV/0!</v>
      </c>
      <c r="H88" s="11" t="e">
        <f>G88-F88</f>
        <v>#DIV/0!</v>
      </c>
      <c r="I88" s="11">
        <f>(J88+K88+M88+N88+P88+Q88+S88+T88)/(J88+K88+M88+N88+P88+Q88+S88+T88+O88+R88+U88+L88)</f>
        <v>6.6666666666666666E-2</v>
      </c>
      <c r="J88">
        <v>7</v>
      </c>
      <c r="K88">
        <v>13</v>
      </c>
      <c r="L88">
        <v>280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5:21">
      <c r="E89" s="11" t="e">
        <f>(F89+G89)/2</f>
        <v>#DIV/0!</v>
      </c>
      <c r="F89" s="11">
        <f>(J89+P89)/(J89+K89+P89+Q89)</f>
        <v>0.57499999999999996</v>
      </c>
      <c r="G89" s="11" t="e">
        <f>(M89+S89)/(M89+N89+S89+T89)</f>
        <v>#DIV/0!</v>
      </c>
      <c r="H89" s="11" t="e">
        <f>G89-F89</f>
        <v>#DIV/0!</v>
      </c>
      <c r="I89" s="11">
        <f>(J89+K89+M89+N89+P89+Q89+S89+T89)/(J89+K89+M89+N89+P89+Q89+S89+T89+O89+R89+U89+L89)</f>
        <v>0.13333333333333333</v>
      </c>
      <c r="J89">
        <v>23</v>
      </c>
      <c r="K89">
        <v>17</v>
      </c>
      <c r="L89">
        <v>260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5:21">
      <c r="E90" s="11" t="e">
        <f>(F90+G90)/2</f>
        <v>#DIV/0!</v>
      </c>
      <c r="F90" s="11">
        <f>(J90+P90)/(J90+K90+P90+Q90)</f>
        <v>0.84615384615384615</v>
      </c>
      <c r="G90" s="11" t="e">
        <f>(M90+S90)/(M90+N90+S90+T90)</f>
        <v>#DIV/0!</v>
      </c>
      <c r="H90" s="11" t="e">
        <f>G90-F90</f>
        <v>#DIV/0!</v>
      </c>
      <c r="I90" s="11">
        <f>(J90+K90+M90+N90+P90+Q90+S90+T90)/(J90+K90+M90+N90+P90+Q90+S90+T90+O90+R90+U90+L90)</f>
        <v>4.3333333333333335E-2</v>
      </c>
      <c r="J90">
        <v>11</v>
      </c>
      <c r="K90">
        <v>2</v>
      </c>
      <c r="L90">
        <v>287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3" spans="5:21">
      <c r="E93" s="11">
        <f>(F93+G93)/2</f>
        <v>0.51162790697674421</v>
      </c>
      <c r="F93" s="11">
        <f>(J93+P93)/(J93+K93+P93+Q93)</f>
        <v>2.3255813953488372E-2</v>
      </c>
      <c r="G93" s="11">
        <f>(M93+S93)/(M93+N93+S93+T93)</f>
        <v>1</v>
      </c>
      <c r="H93" s="11">
        <f>G93-F93</f>
        <v>0.97674418604651159</v>
      </c>
      <c r="I93" s="11">
        <f>(J93+K93+M93+N93+P93+Q93+S93+T93)/(J93+K93+M93+N93+P93+Q93+S93+T93+O93+R93+U93+L93)</f>
        <v>0.24333333333333335</v>
      </c>
      <c r="J93">
        <v>1</v>
      </c>
      <c r="K93">
        <v>42</v>
      </c>
      <c r="L93">
        <v>227</v>
      </c>
      <c r="M93">
        <v>30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5:21">
      <c r="E94" s="11">
        <f>(F94+G94)/2</f>
        <v>0.78809523809523807</v>
      </c>
      <c r="F94" s="11">
        <f>(J94+P94)/(J94+K94+P94+Q94)</f>
        <v>0.6</v>
      </c>
      <c r="G94" s="11">
        <f>(M94+S94)/(M94+N94+S94+T94)</f>
        <v>0.97619047619047616</v>
      </c>
      <c r="H94" s="11">
        <f>G94-F94</f>
        <v>0.37619047619047619</v>
      </c>
      <c r="I94" s="11">
        <f>(J94+K94+M94+N94+P94+Q94+S94+T94)/(J94+K94+M94+N94+P94+Q94+S94+T94+O94+R94+U94+L94)</f>
        <v>0.22333333333333333</v>
      </c>
      <c r="J94">
        <v>15</v>
      </c>
      <c r="K94">
        <v>10</v>
      </c>
      <c r="L94">
        <v>233</v>
      </c>
      <c r="M94">
        <v>41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9" spans="5:21">
      <c r="E99" s="11">
        <f>(F99+G99)/2</f>
        <v>0.80976013234077748</v>
      </c>
      <c r="F99" s="11">
        <f>(J99+P99)/(J99+K99+P99+Q99)</f>
        <v>0.64516129032258063</v>
      </c>
      <c r="G99" s="11">
        <f>(M99+S99)/(M99+N99+S99+T99)</f>
        <v>0.97435897435897434</v>
      </c>
      <c r="H99" s="11">
        <f>G99-F99</f>
        <v>0.32919768403639371</v>
      </c>
      <c r="I99" s="11">
        <f>(J99+K99+M99+N99+P99+Q99+S99+T99)/(J99+K99+M99+N99+P99+Q99+S99+T99+O99+R99+U99+L99)</f>
        <v>0.33666666666666667</v>
      </c>
      <c r="J99">
        <v>40</v>
      </c>
      <c r="K99">
        <v>22</v>
      </c>
      <c r="L99">
        <v>196</v>
      </c>
      <c r="M99">
        <v>38</v>
      </c>
      <c r="N99">
        <v>1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5:21">
      <c r="E100" s="11">
        <f>(F100+G100)/2</f>
        <v>0.86005171299288952</v>
      </c>
      <c r="F100" s="11">
        <f>(J100+P100)/(J100+K100+P100+Q100)</f>
        <v>0.87394957983193278</v>
      </c>
      <c r="G100" s="11">
        <f>(M100+S100)/(M100+N100+S100+T100)</f>
        <v>0.84615384615384615</v>
      </c>
      <c r="H100" s="11">
        <f>G100-F100</f>
        <v>-2.7795733678086632E-2</v>
      </c>
      <c r="I100" s="11">
        <f>(J100+K100+M100+N100+P100+Q100+S100+T100)/(J100+K100+M100+N100+P100+Q100+S100+T100+O100+R100+U100+L100)</f>
        <v>0.52666666666666662</v>
      </c>
      <c r="J100">
        <v>104</v>
      </c>
      <c r="K100">
        <v>15</v>
      </c>
      <c r="L100">
        <v>121</v>
      </c>
      <c r="M100">
        <v>33</v>
      </c>
      <c r="N100">
        <v>6</v>
      </c>
      <c r="O100">
        <v>21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5:21">
      <c r="E101" s="11">
        <f>(F101+G101)/2</f>
        <v>0.96875</v>
      </c>
      <c r="F101" s="11">
        <f>(J101+P101)/(J101+K101+P101+Q101)</f>
        <v>0.9375</v>
      </c>
      <c r="G101" s="11">
        <f>(M101+S101)/(M101+N101+S101+T101)</f>
        <v>1</v>
      </c>
      <c r="H101" s="11">
        <f>G101-F101</f>
        <v>6.25E-2</v>
      </c>
      <c r="I101" s="11">
        <f>(J101+K101+M101+N101+P101+Q101+S101+T101)/(J101+K101+M101+N101+P101+Q101+S101+T101+O101+R101+U101+L101)</f>
        <v>0.94444444444444442</v>
      </c>
      <c r="J101">
        <v>15</v>
      </c>
      <c r="K101">
        <v>1</v>
      </c>
      <c r="L101">
        <v>2</v>
      </c>
      <c r="M101">
        <v>18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5:21">
      <c r="E102" s="11">
        <f>(F102+G102)/2</f>
        <v>0.8515625</v>
      </c>
      <c r="F102" s="11">
        <f>(J102+P102)/(J102+K102+P102+Q102)</f>
        <v>0.703125</v>
      </c>
      <c r="G102" s="11">
        <f>(M102+S102)/(M102+N102+S102+T102)</f>
        <v>1</v>
      </c>
      <c r="H102" s="11">
        <f>G102-F102</f>
        <v>0.296875</v>
      </c>
      <c r="I102" s="11">
        <f>(J102+K102+M102+N102+P102+Q102+S102+T102)/(J102+K102+M102+N102+P102+Q102+S102+T102+O102+R102+U102+L102)</f>
        <v>0.84967320261437906</v>
      </c>
      <c r="J102">
        <v>33</v>
      </c>
      <c r="K102">
        <v>10</v>
      </c>
      <c r="L102">
        <v>14</v>
      </c>
      <c r="M102">
        <v>44</v>
      </c>
      <c r="N102">
        <v>0</v>
      </c>
      <c r="O102">
        <v>2</v>
      </c>
      <c r="P102">
        <v>12</v>
      </c>
      <c r="Q102">
        <v>9</v>
      </c>
      <c r="R102">
        <v>6</v>
      </c>
      <c r="S102">
        <v>22</v>
      </c>
      <c r="T102">
        <v>0</v>
      </c>
      <c r="U102">
        <v>1</v>
      </c>
    </row>
    <row r="103" spans="5:21">
      <c r="E103" s="11">
        <f>(F103+G103)/2</f>
        <v>0.56125000000000003</v>
      </c>
      <c r="F103" s="11">
        <f>(J103+P103)/(J103+K103+P103+Q103)</f>
        <v>0.26250000000000001</v>
      </c>
      <c r="G103" s="11">
        <f>(M103+S103)/(M103+N103+S103+T103)</f>
        <v>0.86</v>
      </c>
      <c r="H103" s="11">
        <f>G103-F103</f>
        <v>0.59749999999999992</v>
      </c>
      <c r="I103" s="11">
        <f>(J103+K103+M103+N103+P103+Q103+S103+T103)/(J103+K103+M103+N103+P103+Q103+S103+T103+O103+R103+U103+L103)</f>
        <v>0.71823204419889508</v>
      </c>
      <c r="J103">
        <v>15</v>
      </c>
      <c r="K103">
        <v>38</v>
      </c>
      <c r="L103">
        <v>20</v>
      </c>
      <c r="M103">
        <v>27</v>
      </c>
      <c r="N103">
        <v>6</v>
      </c>
      <c r="O103">
        <v>15</v>
      </c>
      <c r="P103">
        <v>6</v>
      </c>
      <c r="Q103">
        <v>21</v>
      </c>
      <c r="R103">
        <v>9</v>
      </c>
      <c r="S103">
        <v>16</v>
      </c>
      <c r="T103">
        <v>1</v>
      </c>
      <c r="U103">
        <v>7</v>
      </c>
    </row>
    <row r="104" spans="5:21">
      <c r="E104" s="11">
        <f>(F104+G104)/2</f>
        <v>0.5359316140249204</v>
      </c>
      <c r="F104" s="11">
        <f>(J104+P104)/(J104+K104+P104+Q104)</f>
        <v>0.55462184873949583</v>
      </c>
      <c r="G104" s="11">
        <f>(M104+S104)/(M104+N104+S104+T104)</f>
        <v>0.51724137931034486</v>
      </c>
      <c r="H104" s="11">
        <f>G104-F104</f>
        <v>-3.7380469429150964E-2</v>
      </c>
      <c r="I104" s="11">
        <f>(J104+K104+M104+N104+P104+Q104+S104+T104)/(J104+K104+M104+N104+P104+Q104+S104+T104+O104+R104+U104+L104)</f>
        <v>0.87686567164179108</v>
      </c>
      <c r="J104">
        <v>61</v>
      </c>
      <c r="K104">
        <v>42</v>
      </c>
      <c r="L104">
        <v>20</v>
      </c>
      <c r="M104">
        <v>55</v>
      </c>
      <c r="N104">
        <v>52</v>
      </c>
      <c r="O104">
        <v>11</v>
      </c>
      <c r="P104">
        <v>5</v>
      </c>
      <c r="Q104">
        <v>11</v>
      </c>
      <c r="R104">
        <v>2</v>
      </c>
      <c r="S104">
        <v>5</v>
      </c>
      <c r="T104">
        <v>4</v>
      </c>
      <c r="U104">
        <v>0</v>
      </c>
    </row>
    <row r="105" spans="5:21">
      <c r="E105" s="11">
        <f>(F105+G105)/2</f>
        <v>0.64056795131845834</v>
      </c>
      <c r="F105" s="11">
        <f>(J105+P105)/(J105+K105+P105+Q105)</f>
        <v>0.72941176470588232</v>
      </c>
      <c r="G105" s="11">
        <f>(M105+S105)/(M105+N105+S105+T105)</f>
        <v>0.55172413793103448</v>
      </c>
      <c r="H105" s="11">
        <f>G105-F105</f>
        <v>-0.17768762677484784</v>
      </c>
      <c r="I105" s="11">
        <f>(J105+K105+M105+N105+P105+Q105+S105+T105)/(J105+K105+M105+N105+P105+Q105+S105+T105+O105+R105+U105+L105)</f>
        <v>0.86</v>
      </c>
      <c r="J105">
        <v>41</v>
      </c>
      <c r="K105">
        <v>15</v>
      </c>
      <c r="L105">
        <v>11</v>
      </c>
      <c r="M105">
        <v>30</v>
      </c>
      <c r="N105">
        <v>30</v>
      </c>
      <c r="O105">
        <v>6</v>
      </c>
      <c r="P105">
        <v>21</v>
      </c>
      <c r="Q105">
        <v>8</v>
      </c>
      <c r="R105">
        <v>4</v>
      </c>
      <c r="S105">
        <v>18</v>
      </c>
      <c r="T105">
        <v>9</v>
      </c>
      <c r="U10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2024-06-24T21:35:45Z</dcterms:created>
  <dcterms:modified xsi:type="dcterms:W3CDTF">2025-01-30T01:37:44Z</dcterms:modified>
  <cp:category/>
  <cp:contentStatus/>
</cp:coreProperties>
</file>